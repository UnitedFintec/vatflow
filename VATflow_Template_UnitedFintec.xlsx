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Work - United Fintec Limited\VAT Website\v6\"/>
    </mc:Choice>
  </mc:AlternateContent>
  <xr:revisionPtr revIDLastSave="0" documentId="13_ncr:1_{FB93AB45-CDB7-427D-9EF1-78D8DC50B56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VAT_Return" sheetId="2" r:id="rId2"/>
    <sheet name="Sales" sheetId="3" r:id="rId3"/>
    <sheet name="Expenses" sheetId="4" r:id="rId4"/>
    <sheet name="FRS_Calculator" sheetId="5" r:id="rId5"/>
    <sheet name="Scheme_Guide" sheetId="6" r:id="rId6"/>
    <sheet name="Instru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5" l="1"/>
  <c r="I203" i="4"/>
  <c r="H203" i="4"/>
  <c r="F203" i="4"/>
  <c r="I202" i="4"/>
  <c r="H202" i="4"/>
  <c r="F202" i="4"/>
  <c r="I201" i="4"/>
  <c r="H201" i="4"/>
  <c r="F201" i="4"/>
  <c r="I200" i="4"/>
  <c r="H200" i="4"/>
  <c r="F200" i="4"/>
  <c r="I199" i="4"/>
  <c r="H199" i="4"/>
  <c r="F199" i="4"/>
  <c r="I198" i="4"/>
  <c r="H198" i="4"/>
  <c r="F198" i="4"/>
  <c r="I197" i="4"/>
  <c r="H197" i="4"/>
  <c r="F197" i="4"/>
  <c r="I196" i="4"/>
  <c r="H196" i="4"/>
  <c r="F196" i="4"/>
  <c r="I195" i="4"/>
  <c r="H195" i="4"/>
  <c r="F195" i="4"/>
  <c r="I194" i="4"/>
  <c r="H194" i="4"/>
  <c r="F194" i="4"/>
  <c r="I193" i="4"/>
  <c r="H193" i="4"/>
  <c r="F193" i="4"/>
  <c r="I192" i="4"/>
  <c r="H192" i="4"/>
  <c r="F192" i="4"/>
  <c r="I191" i="4"/>
  <c r="H191" i="4"/>
  <c r="F191" i="4"/>
  <c r="I190" i="4"/>
  <c r="H190" i="4"/>
  <c r="F190" i="4"/>
  <c r="I189" i="4"/>
  <c r="H189" i="4"/>
  <c r="F189" i="4"/>
  <c r="I188" i="4"/>
  <c r="H188" i="4"/>
  <c r="F188" i="4"/>
  <c r="I187" i="4"/>
  <c r="H187" i="4"/>
  <c r="F187" i="4"/>
  <c r="I186" i="4"/>
  <c r="H186" i="4"/>
  <c r="F186" i="4"/>
  <c r="I185" i="4"/>
  <c r="H185" i="4"/>
  <c r="F185" i="4"/>
  <c r="I184" i="4"/>
  <c r="H184" i="4"/>
  <c r="F184" i="4"/>
  <c r="I183" i="4"/>
  <c r="H183" i="4"/>
  <c r="F183" i="4"/>
  <c r="I182" i="4"/>
  <c r="H182" i="4"/>
  <c r="F182" i="4"/>
  <c r="I181" i="4"/>
  <c r="H181" i="4"/>
  <c r="F181" i="4"/>
  <c r="I180" i="4"/>
  <c r="H180" i="4"/>
  <c r="F180" i="4"/>
  <c r="I179" i="4"/>
  <c r="H179" i="4"/>
  <c r="F179" i="4"/>
  <c r="I178" i="4"/>
  <c r="H178" i="4"/>
  <c r="F178" i="4"/>
  <c r="I177" i="4"/>
  <c r="H177" i="4"/>
  <c r="F177" i="4"/>
  <c r="I176" i="4"/>
  <c r="H176" i="4"/>
  <c r="F176" i="4"/>
  <c r="I175" i="4"/>
  <c r="H175" i="4"/>
  <c r="F175" i="4"/>
  <c r="I174" i="4"/>
  <c r="H174" i="4"/>
  <c r="F174" i="4"/>
  <c r="I173" i="4"/>
  <c r="H173" i="4"/>
  <c r="F173" i="4"/>
  <c r="I172" i="4"/>
  <c r="H172" i="4"/>
  <c r="F172" i="4"/>
  <c r="I171" i="4"/>
  <c r="H171" i="4"/>
  <c r="F171" i="4"/>
  <c r="I170" i="4"/>
  <c r="H170" i="4"/>
  <c r="F170" i="4"/>
  <c r="I169" i="4"/>
  <c r="H169" i="4"/>
  <c r="F169" i="4"/>
  <c r="I168" i="4"/>
  <c r="H168" i="4"/>
  <c r="F168" i="4"/>
  <c r="I167" i="4"/>
  <c r="H167" i="4"/>
  <c r="F167" i="4"/>
  <c r="I166" i="4"/>
  <c r="H166" i="4"/>
  <c r="F166" i="4"/>
  <c r="I165" i="4"/>
  <c r="H165" i="4"/>
  <c r="F165" i="4"/>
  <c r="I164" i="4"/>
  <c r="H164" i="4"/>
  <c r="F164" i="4"/>
  <c r="I163" i="4"/>
  <c r="H163" i="4"/>
  <c r="F163" i="4"/>
  <c r="I162" i="4"/>
  <c r="H162" i="4"/>
  <c r="F162" i="4"/>
  <c r="I161" i="4"/>
  <c r="H161" i="4"/>
  <c r="F161" i="4"/>
  <c r="I160" i="4"/>
  <c r="H160" i="4"/>
  <c r="F160" i="4"/>
  <c r="I159" i="4"/>
  <c r="H159" i="4"/>
  <c r="F159" i="4"/>
  <c r="I158" i="4"/>
  <c r="H158" i="4"/>
  <c r="F158" i="4"/>
  <c r="I157" i="4"/>
  <c r="H157" i="4"/>
  <c r="F157" i="4"/>
  <c r="I156" i="4"/>
  <c r="H156" i="4"/>
  <c r="F156" i="4"/>
  <c r="I155" i="4"/>
  <c r="H155" i="4"/>
  <c r="F155" i="4"/>
  <c r="I154" i="4"/>
  <c r="H154" i="4"/>
  <c r="F154" i="4"/>
  <c r="I153" i="4"/>
  <c r="H153" i="4"/>
  <c r="F153" i="4"/>
  <c r="I152" i="4"/>
  <c r="H152" i="4"/>
  <c r="F152" i="4"/>
  <c r="I151" i="4"/>
  <c r="H151" i="4"/>
  <c r="F151" i="4"/>
  <c r="I150" i="4"/>
  <c r="H150" i="4"/>
  <c r="F150" i="4"/>
  <c r="I149" i="4"/>
  <c r="H149" i="4"/>
  <c r="F149" i="4"/>
  <c r="I148" i="4"/>
  <c r="H148" i="4"/>
  <c r="F148" i="4"/>
  <c r="I147" i="4"/>
  <c r="H147" i="4"/>
  <c r="F147" i="4"/>
  <c r="I146" i="4"/>
  <c r="H146" i="4"/>
  <c r="F146" i="4"/>
  <c r="I145" i="4"/>
  <c r="H145" i="4"/>
  <c r="F145" i="4"/>
  <c r="I144" i="4"/>
  <c r="H144" i="4"/>
  <c r="F144" i="4"/>
  <c r="I143" i="4"/>
  <c r="H143" i="4"/>
  <c r="F143" i="4"/>
  <c r="I142" i="4"/>
  <c r="H142" i="4"/>
  <c r="F142" i="4"/>
  <c r="I141" i="4"/>
  <c r="H141" i="4"/>
  <c r="F141" i="4"/>
  <c r="I140" i="4"/>
  <c r="H140" i="4"/>
  <c r="F140" i="4"/>
  <c r="I139" i="4"/>
  <c r="H139" i="4"/>
  <c r="F139" i="4"/>
  <c r="I138" i="4"/>
  <c r="H138" i="4"/>
  <c r="F138" i="4"/>
  <c r="I137" i="4"/>
  <c r="H137" i="4"/>
  <c r="F137" i="4"/>
  <c r="I136" i="4"/>
  <c r="H136" i="4"/>
  <c r="F136" i="4"/>
  <c r="I135" i="4"/>
  <c r="H135" i="4"/>
  <c r="F135" i="4"/>
  <c r="I134" i="4"/>
  <c r="H134" i="4"/>
  <c r="F134" i="4"/>
  <c r="I133" i="4"/>
  <c r="H133" i="4"/>
  <c r="F133" i="4"/>
  <c r="I132" i="4"/>
  <c r="H132" i="4"/>
  <c r="F132" i="4"/>
  <c r="I131" i="4"/>
  <c r="H131" i="4"/>
  <c r="F131" i="4"/>
  <c r="I130" i="4"/>
  <c r="H130" i="4"/>
  <c r="F130" i="4"/>
  <c r="I129" i="4"/>
  <c r="H129" i="4"/>
  <c r="F129" i="4"/>
  <c r="I128" i="4"/>
  <c r="H128" i="4"/>
  <c r="F128" i="4"/>
  <c r="I127" i="4"/>
  <c r="H127" i="4"/>
  <c r="F127" i="4"/>
  <c r="I126" i="4"/>
  <c r="H126" i="4"/>
  <c r="F126" i="4"/>
  <c r="I125" i="4"/>
  <c r="H125" i="4"/>
  <c r="F125" i="4"/>
  <c r="I124" i="4"/>
  <c r="H124" i="4"/>
  <c r="F124" i="4"/>
  <c r="I123" i="4"/>
  <c r="H123" i="4"/>
  <c r="F123" i="4"/>
  <c r="I122" i="4"/>
  <c r="H122" i="4"/>
  <c r="F122" i="4"/>
  <c r="I121" i="4"/>
  <c r="H121" i="4"/>
  <c r="F121" i="4"/>
  <c r="I120" i="4"/>
  <c r="H120" i="4"/>
  <c r="F120" i="4"/>
  <c r="I119" i="4"/>
  <c r="H119" i="4"/>
  <c r="F119" i="4"/>
  <c r="I118" i="4"/>
  <c r="H118" i="4"/>
  <c r="F118" i="4"/>
  <c r="I117" i="4"/>
  <c r="H117" i="4"/>
  <c r="F117" i="4"/>
  <c r="I116" i="4"/>
  <c r="H116" i="4"/>
  <c r="F116" i="4"/>
  <c r="I115" i="4"/>
  <c r="H115" i="4"/>
  <c r="F115" i="4"/>
  <c r="I114" i="4"/>
  <c r="H114" i="4"/>
  <c r="F114" i="4"/>
  <c r="I113" i="4"/>
  <c r="H113" i="4"/>
  <c r="F113" i="4"/>
  <c r="I112" i="4"/>
  <c r="H112" i="4"/>
  <c r="F112" i="4"/>
  <c r="I111" i="4"/>
  <c r="H111" i="4"/>
  <c r="F111" i="4"/>
  <c r="I110" i="4"/>
  <c r="H110" i="4"/>
  <c r="F110" i="4"/>
  <c r="I109" i="4"/>
  <c r="H109" i="4"/>
  <c r="F109" i="4"/>
  <c r="I108" i="4"/>
  <c r="H108" i="4"/>
  <c r="F108" i="4"/>
  <c r="I107" i="4"/>
  <c r="H107" i="4"/>
  <c r="F107" i="4"/>
  <c r="I106" i="4"/>
  <c r="H106" i="4"/>
  <c r="F106" i="4"/>
  <c r="I105" i="4"/>
  <c r="H105" i="4"/>
  <c r="F105" i="4"/>
  <c r="I104" i="4"/>
  <c r="H104" i="4"/>
  <c r="F104" i="4"/>
  <c r="I103" i="4"/>
  <c r="H103" i="4"/>
  <c r="F103" i="4"/>
  <c r="I102" i="4"/>
  <c r="H102" i="4"/>
  <c r="F102" i="4"/>
  <c r="I101" i="4"/>
  <c r="H101" i="4"/>
  <c r="F101" i="4"/>
  <c r="I100" i="4"/>
  <c r="H100" i="4"/>
  <c r="F100" i="4"/>
  <c r="I99" i="4"/>
  <c r="H99" i="4"/>
  <c r="F99" i="4"/>
  <c r="I98" i="4"/>
  <c r="H98" i="4"/>
  <c r="F98" i="4"/>
  <c r="I97" i="4"/>
  <c r="H97" i="4"/>
  <c r="F97" i="4"/>
  <c r="I96" i="4"/>
  <c r="H96" i="4"/>
  <c r="F96" i="4"/>
  <c r="I95" i="4"/>
  <c r="H95" i="4"/>
  <c r="F95" i="4"/>
  <c r="I94" i="4"/>
  <c r="H94" i="4"/>
  <c r="F94" i="4"/>
  <c r="I93" i="4"/>
  <c r="H93" i="4"/>
  <c r="F93" i="4"/>
  <c r="I92" i="4"/>
  <c r="H92" i="4"/>
  <c r="F92" i="4"/>
  <c r="I91" i="4"/>
  <c r="H91" i="4"/>
  <c r="F91" i="4"/>
  <c r="I90" i="4"/>
  <c r="H90" i="4"/>
  <c r="F90" i="4"/>
  <c r="I89" i="4"/>
  <c r="H89" i="4"/>
  <c r="F89" i="4"/>
  <c r="I88" i="4"/>
  <c r="H88" i="4"/>
  <c r="F88" i="4"/>
  <c r="I87" i="4"/>
  <c r="H87" i="4"/>
  <c r="F87" i="4"/>
  <c r="I86" i="4"/>
  <c r="H86" i="4"/>
  <c r="F86" i="4"/>
  <c r="I85" i="4"/>
  <c r="H85" i="4"/>
  <c r="F85" i="4"/>
  <c r="I84" i="4"/>
  <c r="H84" i="4"/>
  <c r="F84" i="4"/>
  <c r="I83" i="4"/>
  <c r="H83" i="4"/>
  <c r="F83" i="4"/>
  <c r="I82" i="4"/>
  <c r="H82" i="4"/>
  <c r="F82" i="4"/>
  <c r="I81" i="4"/>
  <c r="H81" i="4"/>
  <c r="F81" i="4"/>
  <c r="I80" i="4"/>
  <c r="H80" i="4"/>
  <c r="F80" i="4"/>
  <c r="I79" i="4"/>
  <c r="H79" i="4"/>
  <c r="F79" i="4"/>
  <c r="I78" i="4"/>
  <c r="H78" i="4"/>
  <c r="F78" i="4"/>
  <c r="I77" i="4"/>
  <c r="H77" i="4"/>
  <c r="F77" i="4"/>
  <c r="I76" i="4"/>
  <c r="H76" i="4"/>
  <c r="F76" i="4"/>
  <c r="I75" i="4"/>
  <c r="H75" i="4"/>
  <c r="F75" i="4"/>
  <c r="I74" i="4"/>
  <c r="H74" i="4"/>
  <c r="F74" i="4"/>
  <c r="I73" i="4"/>
  <c r="H73" i="4"/>
  <c r="F73" i="4"/>
  <c r="I72" i="4"/>
  <c r="H72" i="4"/>
  <c r="F72" i="4"/>
  <c r="I71" i="4"/>
  <c r="H71" i="4"/>
  <c r="F71" i="4"/>
  <c r="I70" i="4"/>
  <c r="H70" i="4"/>
  <c r="F70" i="4"/>
  <c r="I69" i="4"/>
  <c r="H69" i="4"/>
  <c r="F69" i="4"/>
  <c r="I68" i="4"/>
  <c r="H68" i="4"/>
  <c r="F68" i="4"/>
  <c r="I67" i="4"/>
  <c r="H67" i="4"/>
  <c r="F67" i="4"/>
  <c r="I66" i="4"/>
  <c r="H66" i="4"/>
  <c r="F66" i="4"/>
  <c r="I65" i="4"/>
  <c r="H65" i="4"/>
  <c r="F65" i="4"/>
  <c r="I64" i="4"/>
  <c r="H64" i="4"/>
  <c r="F64" i="4"/>
  <c r="I63" i="4"/>
  <c r="H63" i="4"/>
  <c r="F63" i="4"/>
  <c r="I62" i="4"/>
  <c r="H62" i="4"/>
  <c r="F62" i="4"/>
  <c r="I61" i="4"/>
  <c r="H61" i="4"/>
  <c r="F61" i="4"/>
  <c r="I60" i="4"/>
  <c r="H60" i="4"/>
  <c r="F60" i="4"/>
  <c r="I59" i="4"/>
  <c r="H59" i="4"/>
  <c r="F59" i="4"/>
  <c r="I58" i="4"/>
  <c r="H58" i="4"/>
  <c r="F58" i="4"/>
  <c r="I57" i="4"/>
  <c r="H57" i="4"/>
  <c r="F57" i="4"/>
  <c r="I56" i="4"/>
  <c r="H56" i="4"/>
  <c r="F56" i="4"/>
  <c r="I55" i="4"/>
  <c r="H55" i="4"/>
  <c r="F55" i="4"/>
  <c r="I54" i="4"/>
  <c r="H54" i="4"/>
  <c r="F54" i="4"/>
  <c r="I53" i="4"/>
  <c r="H53" i="4"/>
  <c r="F53" i="4"/>
  <c r="I52" i="4"/>
  <c r="H52" i="4"/>
  <c r="F52" i="4"/>
  <c r="I51" i="4"/>
  <c r="H51" i="4"/>
  <c r="F51" i="4"/>
  <c r="I50" i="4"/>
  <c r="H50" i="4"/>
  <c r="F50" i="4"/>
  <c r="I49" i="4"/>
  <c r="H49" i="4"/>
  <c r="F49" i="4"/>
  <c r="I48" i="4"/>
  <c r="H48" i="4"/>
  <c r="F48" i="4"/>
  <c r="I47" i="4"/>
  <c r="H47" i="4"/>
  <c r="F47" i="4"/>
  <c r="I46" i="4"/>
  <c r="H46" i="4"/>
  <c r="F46" i="4"/>
  <c r="I45" i="4"/>
  <c r="H45" i="4"/>
  <c r="F45" i="4"/>
  <c r="I44" i="4"/>
  <c r="H44" i="4"/>
  <c r="F44" i="4"/>
  <c r="I43" i="4"/>
  <c r="H43" i="4"/>
  <c r="F43" i="4"/>
  <c r="I42" i="4"/>
  <c r="H42" i="4"/>
  <c r="F42" i="4"/>
  <c r="I41" i="4"/>
  <c r="H41" i="4"/>
  <c r="F41" i="4"/>
  <c r="I40" i="4"/>
  <c r="H40" i="4"/>
  <c r="F40" i="4"/>
  <c r="I39" i="4"/>
  <c r="H39" i="4"/>
  <c r="F39" i="4"/>
  <c r="I38" i="4"/>
  <c r="H38" i="4"/>
  <c r="F38" i="4"/>
  <c r="I37" i="4"/>
  <c r="H37" i="4"/>
  <c r="F37" i="4"/>
  <c r="I36" i="4"/>
  <c r="H36" i="4"/>
  <c r="F36" i="4"/>
  <c r="I35" i="4"/>
  <c r="H35" i="4"/>
  <c r="F35" i="4"/>
  <c r="I34" i="4"/>
  <c r="H34" i="4"/>
  <c r="F34" i="4"/>
  <c r="I33" i="4"/>
  <c r="H33" i="4"/>
  <c r="F33" i="4"/>
  <c r="I32" i="4"/>
  <c r="H32" i="4"/>
  <c r="F32" i="4"/>
  <c r="I31" i="4"/>
  <c r="H31" i="4"/>
  <c r="F31" i="4"/>
  <c r="I30" i="4"/>
  <c r="H30" i="4"/>
  <c r="F30" i="4"/>
  <c r="I29" i="4"/>
  <c r="H29" i="4"/>
  <c r="F29" i="4"/>
  <c r="I28" i="4"/>
  <c r="H28" i="4"/>
  <c r="F28" i="4"/>
  <c r="I27" i="4"/>
  <c r="H27" i="4"/>
  <c r="F27" i="4"/>
  <c r="I26" i="4"/>
  <c r="H26" i="4"/>
  <c r="F26" i="4"/>
  <c r="I25" i="4"/>
  <c r="H25" i="4"/>
  <c r="F25" i="4"/>
  <c r="I24" i="4"/>
  <c r="H24" i="4"/>
  <c r="F24" i="4"/>
  <c r="I23" i="4"/>
  <c r="H23" i="4"/>
  <c r="F23" i="4"/>
  <c r="I22" i="4"/>
  <c r="H22" i="4"/>
  <c r="F22" i="4"/>
  <c r="I21" i="4"/>
  <c r="H21" i="4"/>
  <c r="F21" i="4"/>
  <c r="I20" i="4"/>
  <c r="H20" i="4"/>
  <c r="F20" i="4"/>
  <c r="I19" i="4"/>
  <c r="H19" i="4"/>
  <c r="F19" i="4"/>
  <c r="I18" i="4"/>
  <c r="H18" i="4"/>
  <c r="F18" i="4"/>
  <c r="I17" i="4"/>
  <c r="H17" i="4"/>
  <c r="F17" i="4"/>
  <c r="I16" i="4"/>
  <c r="H16" i="4"/>
  <c r="F16" i="4"/>
  <c r="I15" i="4"/>
  <c r="H15" i="4"/>
  <c r="F15" i="4"/>
  <c r="I14" i="4"/>
  <c r="H14" i="4"/>
  <c r="F14" i="4"/>
  <c r="I13" i="4"/>
  <c r="H13" i="4"/>
  <c r="F13" i="4"/>
  <c r="I12" i="4"/>
  <c r="H12" i="4"/>
  <c r="F12" i="4"/>
  <c r="I11" i="4"/>
  <c r="H11" i="4"/>
  <c r="F11" i="4"/>
  <c r="I10" i="4"/>
  <c r="H10" i="4"/>
  <c r="F10" i="4"/>
  <c r="I9" i="4"/>
  <c r="H9" i="4"/>
  <c r="F9" i="4"/>
  <c r="I8" i="4"/>
  <c r="I3" i="4" s="1"/>
  <c r="H8" i="4"/>
  <c r="F8" i="4"/>
  <c r="I7" i="4"/>
  <c r="H7" i="4"/>
  <c r="F7" i="4"/>
  <c r="I6" i="4"/>
  <c r="H6" i="4"/>
  <c r="F6" i="4"/>
  <c r="I5" i="4"/>
  <c r="H5" i="4"/>
  <c r="F5" i="4"/>
  <c r="I4" i="4"/>
  <c r="H4" i="4"/>
  <c r="F4" i="4"/>
  <c r="F3" i="4" s="1"/>
  <c r="C21" i="2" s="1"/>
  <c r="F26" i="1" s="1"/>
  <c r="H3" i="4"/>
  <c r="C18" i="2" s="1"/>
  <c r="F23" i="1" s="1"/>
  <c r="E3" i="4"/>
  <c r="I203" i="3"/>
  <c r="H203" i="3"/>
  <c r="F203" i="3"/>
  <c r="I202" i="3"/>
  <c r="H202" i="3"/>
  <c r="F202" i="3"/>
  <c r="I201" i="3"/>
  <c r="H201" i="3"/>
  <c r="F201" i="3"/>
  <c r="I200" i="3"/>
  <c r="H200" i="3"/>
  <c r="F200" i="3"/>
  <c r="I199" i="3"/>
  <c r="H199" i="3"/>
  <c r="F199" i="3"/>
  <c r="I198" i="3"/>
  <c r="H198" i="3"/>
  <c r="F198" i="3"/>
  <c r="I197" i="3"/>
  <c r="H197" i="3"/>
  <c r="F197" i="3"/>
  <c r="I196" i="3"/>
  <c r="H196" i="3"/>
  <c r="F196" i="3"/>
  <c r="I195" i="3"/>
  <c r="H195" i="3"/>
  <c r="F195" i="3"/>
  <c r="I194" i="3"/>
  <c r="H194" i="3"/>
  <c r="F194" i="3"/>
  <c r="I193" i="3"/>
  <c r="H193" i="3"/>
  <c r="F193" i="3"/>
  <c r="I192" i="3"/>
  <c r="H192" i="3"/>
  <c r="F192" i="3"/>
  <c r="I191" i="3"/>
  <c r="H191" i="3"/>
  <c r="F191" i="3"/>
  <c r="I190" i="3"/>
  <c r="H190" i="3"/>
  <c r="F190" i="3"/>
  <c r="I189" i="3"/>
  <c r="H189" i="3"/>
  <c r="F189" i="3"/>
  <c r="I188" i="3"/>
  <c r="H188" i="3"/>
  <c r="F188" i="3"/>
  <c r="I187" i="3"/>
  <c r="H187" i="3"/>
  <c r="F187" i="3"/>
  <c r="I186" i="3"/>
  <c r="H186" i="3"/>
  <c r="F186" i="3"/>
  <c r="I185" i="3"/>
  <c r="H185" i="3"/>
  <c r="F185" i="3"/>
  <c r="I184" i="3"/>
  <c r="H184" i="3"/>
  <c r="F184" i="3"/>
  <c r="I183" i="3"/>
  <c r="H183" i="3"/>
  <c r="F183" i="3"/>
  <c r="I182" i="3"/>
  <c r="H182" i="3"/>
  <c r="F182" i="3"/>
  <c r="I181" i="3"/>
  <c r="H181" i="3"/>
  <c r="F181" i="3"/>
  <c r="I180" i="3"/>
  <c r="H180" i="3"/>
  <c r="F180" i="3"/>
  <c r="I179" i="3"/>
  <c r="H179" i="3"/>
  <c r="F179" i="3"/>
  <c r="I178" i="3"/>
  <c r="H178" i="3"/>
  <c r="F178" i="3"/>
  <c r="I177" i="3"/>
  <c r="H177" i="3"/>
  <c r="F177" i="3"/>
  <c r="I176" i="3"/>
  <c r="H176" i="3"/>
  <c r="F176" i="3"/>
  <c r="I175" i="3"/>
  <c r="H175" i="3"/>
  <c r="F175" i="3"/>
  <c r="I174" i="3"/>
  <c r="H174" i="3"/>
  <c r="F174" i="3"/>
  <c r="I173" i="3"/>
  <c r="H173" i="3"/>
  <c r="F173" i="3"/>
  <c r="I172" i="3"/>
  <c r="H172" i="3"/>
  <c r="F172" i="3"/>
  <c r="I171" i="3"/>
  <c r="H171" i="3"/>
  <c r="F171" i="3"/>
  <c r="I170" i="3"/>
  <c r="H170" i="3"/>
  <c r="F170" i="3"/>
  <c r="I169" i="3"/>
  <c r="H169" i="3"/>
  <c r="F169" i="3"/>
  <c r="I168" i="3"/>
  <c r="H168" i="3"/>
  <c r="F168" i="3"/>
  <c r="I167" i="3"/>
  <c r="H167" i="3"/>
  <c r="F167" i="3"/>
  <c r="I166" i="3"/>
  <c r="H166" i="3"/>
  <c r="F166" i="3"/>
  <c r="I165" i="3"/>
  <c r="H165" i="3"/>
  <c r="F165" i="3"/>
  <c r="I164" i="3"/>
  <c r="H164" i="3"/>
  <c r="F164" i="3"/>
  <c r="I163" i="3"/>
  <c r="H163" i="3"/>
  <c r="F163" i="3"/>
  <c r="I162" i="3"/>
  <c r="H162" i="3"/>
  <c r="F162" i="3"/>
  <c r="I161" i="3"/>
  <c r="H161" i="3"/>
  <c r="F161" i="3"/>
  <c r="I160" i="3"/>
  <c r="H160" i="3"/>
  <c r="F160" i="3"/>
  <c r="I159" i="3"/>
  <c r="H159" i="3"/>
  <c r="F159" i="3"/>
  <c r="I158" i="3"/>
  <c r="H158" i="3"/>
  <c r="F158" i="3"/>
  <c r="I157" i="3"/>
  <c r="H157" i="3"/>
  <c r="F157" i="3"/>
  <c r="I156" i="3"/>
  <c r="H156" i="3"/>
  <c r="F156" i="3"/>
  <c r="I155" i="3"/>
  <c r="H155" i="3"/>
  <c r="F155" i="3"/>
  <c r="I154" i="3"/>
  <c r="H154" i="3"/>
  <c r="F154" i="3"/>
  <c r="I153" i="3"/>
  <c r="H153" i="3"/>
  <c r="F153" i="3"/>
  <c r="I152" i="3"/>
  <c r="H152" i="3"/>
  <c r="F152" i="3"/>
  <c r="I151" i="3"/>
  <c r="H151" i="3"/>
  <c r="F151" i="3"/>
  <c r="I150" i="3"/>
  <c r="H150" i="3"/>
  <c r="F150" i="3"/>
  <c r="I149" i="3"/>
  <c r="H149" i="3"/>
  <c r="F149" i="3"/>
  <c r="I148" i="3"/>
  <c r="H148" i="3"/>
  <c r="F148" i="3"/>
  <c r="I147" i="3"/>
  <c r="H147" i="3"/>
  <c r="F147" i="3"/>
  <c r="I146" i="3"/>
  <c r="H146" i="3"/>
  <c r="F146" i="3"/>
  <c r="I145" i="3"/>
  <c r="H145" i="3"/>
  <c r="F145" i="3"/>
  <c r="I144" i="3"/>
  <c r="H144" i="3"/>
  <c r="F144" i="3"/>
  <c r="I143" i="3"/>
  <c r="H143" i="3"/>
  <c r="F143" i="3"/>
  <c r="I142" i="3"/>
  <c r="H142" i="3"/>
  <c r="F142" i="3"/>
  <c r="I141" i="3"/>
  <c r="H141" i="3"/>
  <c r="F141" i="3"/>
  <c r="I140" i="3"/>
  <c r="H140" i="3"/>
  <c r="F140" i="3"/>
  <c r="I139" i="3"/>
  <c r="H139" i="3"/>
  <c r="F139" i="3"/>
  <c r="I138" i="3"/>
  <c r="H138" i="3"/>
  <c r="F138" i="3"/>
  <c r="I137" i="3"/>
  <c r="H137" i="3"/>
  <c r="F137" i="3"/>
  <c r="I136" i="3"/>
  <c r="H136" i="3"/>
  <c r="F136" i="3"/>
  <c r="I135" i="3"/>
  <c r="H135" i="3"/>
  <c r="F135" i="3"/>
  <c r="I134" i="3"/>
  <c r="H134" i="3"/>
  <c r="F134" i="3"/>
  <c r="I133" i="3"/>
  <c r="H133" i="3"/>
  <c r="F133" i="3"/>
  <c r="I132" i="3"/>
  <c r="H132" i="3"/>
  <c r="F132" i="3"/>
  <c r="I131" i="3"/>
  <c r="H131" i="3"/>
  <c r="F131" i="3"/>
  <c r="I130" i="3"/>
  <c r="H130" i="3"/>
  <c r="F130" i="3"/>
  <c r="I129" i="3"/>
  <c r="H129" i="3"/>
  <c r="F129" i="3"/>
  <c r="I128" i="3"/>
  <c r="H128" i="3"/>
  <c r="F128" i="3"/>
  <c r="I127" i="3"/>
  <c r="H127" i="3"/>
  <c r="F127" i="3"/>
  <c r="I126" i="3"/>
  <c r="H126" i="3"/>
  <c r="F126" i="3"/>
  <c r="I125" i="3"/>
  <c r="H125" i="3"/>
  <c r="F125" i="3"/>
  <c r="I124" i="3"/>
  <c r="H124" i="3"/>
  <c r="F124" i="3"/>
  <c r="I123" i="3"/>
  <c r="H123" i="3"/>
  <c r="F123" i="3"/>
  <c r="I122" i="3"/>
  <c r="H122" i="3"/>
  <c r="F122" i="3"/>
  <c r="I121" i="3"/>
  <c r="H121" i="3"/>
  <c r="F121" i="3"/>
  <c r="I120" i="3"/>
  <c r="H120" i="3"/>
  <c r="F120" i="3"/>
  <c r="I119" i="3"/>
  <c r="H119" i="3"/>
  <c r="F119" i="3"/>
  <c r="I118" i="3"/>
  <c r="H118" i="3"/>
  <c r="F118" i="3"/>
  <c r="I117" i="3"/>
  <c r="H117" i="3"/>
  <c r="F117" i="3"/>
  <c r="I116" i="3"/>
  <c r="H116" i="3"/>
  <c r="F116" i="3"/>
  <c r="I115" i="3"/>
  <c r="H115" i="3"/>
  <c r="F115" i="3"/>
  <c r="I114" i="3"/>
  <c r="H114" i="3"/>
  <c r="F114" i="3"/>
  <c r="I113" i="3"/>
  <c r="H113" i="3"/>
  <c r="F113" i="3"/>
  <c r="I112" i="3"/>
  <c r="H112" i="3"/>
  <c r="F112" i="3"/>
  <c r="I111" i="3"/>
  <c r="H111" i="3"/>
  <c r="F111" i="3"/>
  <c r="I110" i="3"/>
  <c r="H110" i="3"/>
  <c r="F110" i="3"/>
  <c r="I109" i="3"/>
  <c r="H109" i="3"/>
  <c r="F109" i="3"/>
  <c r="I108" i="3"/>
  <c r="H108" i="3"/>
  <c r="F108" i="3"/>
  <c r="I107" i="3"/>
  <c r="H107" i="3"/>
  <c r="F107" i="3"/>
  <c r="I106" i="3"/>
  <c r="H106" i="3"/>
  <c r="F106" i="3"/>
  <c r="I105" i="3"/>
  <c r="H105" i="3"/>
  <c r="F105" i="3"/>
  <c r="I104" i="3"/>
  <c r="H104" i="3"/>
  <c r="F104" i="3"/>
  <c r="I103" i="3"/>
  <c r="H103" i="3"/>
  <c r="F103" i="3"/>
  <c r="I102" i="3"/>
  <c r="H102" i="3"/>
  <c r="F102" i="3"/>
  <c r="I101" i="3"/>
  <c r="H101" i="3"/>
  <c r="F101" i="3"/>
  <c r="I100" i="3"/>
  <c r="H100" i="3"/>
  <c r="F100" i="3"/>
  <c r="I99" i="3"/>
  <c r="H99" i="3"/>
  <c r="F99" i="3"/>
  <c r="I98" i="3"/>
  <c r="H98" i="3"/>
  <c r="F98" i="3"/>
  <c r="I97" i="3"/>
  <c r="H97" i="3"/>
  <c r="F97" i="3"/>
  <c r="I96" i="3"/>
  <c r="H96" i="3"/>
  <c r="F96" i="3"/>
  <c r="I95" i="3"/>
  <c r="H95" i="3"/>
  <c r="F95" i="3"/>
  <c r="I94" i="3"/>
  <c r="H94" i="3"/>
  <c r="F94" i="3"/>
  <c r="I93" i="3"/>
  <c r="H93" i="3"/>
  <c r="F93" i="3"/>
  <c r="I92" i="3"/>
  <c r="H92" i="3"/>
  <c r="F92" i="3"/>
  <c r="I91" i="3"/>
  <c r="H91" i="3"/>
  <c r="F91" i="3"/>
  <c r="I90" i="3"/>
  <c r="H90" i="3"/>
  <c r="F90" i="3"/>
  <c r="I89" i="3"/>
  <c r="H89" i="3"/>
  <c r="F89" i="3"/>
  <c r="I88" i="3"/>
  <c r="H88" i="3"/>
  <c r="F88" i="3"/>
  <c r="I87" i="3"/>
  <c r="H87" i="3"/>
  <c r="F87" i="3"/>
  <c r="I86" i="3"/>
  <c r="H86" i="3"/>
  <c r="F86" i="3"/>
  <c r="I85" i="3"/>
  <c r="H85" i="3"/>
  <c r="F85" i="3"/>
  <c r="I84" i="3"/>
  <c r="H84" i="3"/>
  <c r="F84" i="3"/>
  <c r="I83" i="3"/>
  <c r="H83" i="3"/>
  <c r="F83" i="3"/>
  <c r="I82" i="3"/>
  <c r="H82" i="3"/>
  <c r="F82" i="3"/>
  <c r="I81" i="3"/>
  <c r="H81" i="3"/>
  <c r="F81" i="3"/>
  <c r="I80" i="3"/>
  <c r="H80" i="3"/>
  <c r="F80" i="3"/>
  <c r="I79" i="3"/>
  <c r="H79" i="3"/>
  <c r="F79" i="3"/>
  <c r="I78" i="3"/>
  <c r="H78" i="3"/>
  <c r="F78" i="3"/>
  <c r="I77" i="3"/>
  <c r="H77" i="3"/>
  <c r="F77" i="3"/>
  <c r="I76" i="3"/>
  <c r="H76" i="3"/>
  <c r="F76" i="3"/>
  <c r="I75" i="3"/>
  <c r="H75" i="3"/>
  <c r="F75" i="3"/>
  <c r="I74" i="3"/>
  <c r="H74" i="3"/>
  <c r="F74" i="3"/>
  <c r="I73" i="3"/>
  <c r="H73" i="3"/>
  <c r="F73" i="3"/>
  <c r="I72" i="3"/>
  <c r="H72" i="3"/>
  <c r="F72" i="3"/>
  <c r="I71" i="3"/>
  <c r="H71" i="3"/>
  <c r="F71" i="3"/>
  <c r="I70" i="3"/>
  <c r="H70" i="3"/>
  <c r="F70" i="3"/>
  <c r="I69" i="3"/>
  <c r="H69" i="3"/>
  <c r="F69" i="3"/>
  <c r="I68" i="3"/>
  <c r="H68" i="3"/>
  <c r="F68" i="3"/>
  <c r="I67" i="3"/>
  <c r="H67" i="3"/>
  <c r="F67" i="3"/>
  <c r="I66" i="3"/>
  <c r="H66" i="3"/>
  <c r="F66" i="3"/>
  <c r="I65" i="3"/>
  <c r="H65" i="3"/>
  <c r="F65" i="3"/>
  <c r="I64" i="3"/>
  <c r="H64" i="3"/>
  <c r="F64" i="3"/>
  <c r="I63" i="3"/>
  <c r="H63" i="3"/>
  <c r="F63" i="3"/>
  <c r="I62" i="3"/>
  <c r="H62" i="3"/>
  <c r="F62" i="3"/>
  <c r="I61" i="3"/>
  <c r="H61" i="3"/>
  <c r="F61" i="3"/>
  <c r="I60" i="3"/>
  <c r="H60" i="3"/>
  <c r="F60" i="3"/>
  <c r="I59" i="3"/>
  <c r="H59" i="3"/>
  <c r="F59" i="3"/>
  <c r="I58" i="3"/>
  <c r="H58" i="3"/>
  <c r="F58" i="3"/>
  <c r="I57" i="3"/>
  <c r="H57" i="3"/>
  <c r="F57" i="3"/>
  <c r="I56" i="3"/>
  <c r="H56" i="3"/>
  <c r="F56" i="3"/>
  <c r="I55" i="3"/>
  <c r="H55" i="3"/>
  <c r="F55" i="3"/>
  <c r="I54" i="3"/>
  <c r="H54" i="3"/>
  <c r="F54" i="3"/>
  <c r="I53" i="3"/>
  <c r="H53" i="3"/>
  <c r="F53" i="3"/>
  <c r="I52" i="3"/>
  <c r="H52" i="3"/>
  <c r="F52" i="3"/>
  <c r="I51" i="3"/>
  <c r="H51" i="3"/>
  <c r="F51" i="3"/>
  <c r="I50" i="3"/>
  <c r="H50" i="3"/>
  <c r="F50" i="3"/>
  <c r="I49" i="3"/>
  <c r="H49" i="3"/>
  <c r="F49" i="3"/>
  <c r="I48" i="3"/>
  <c r="H48" i="3"/>
  <c r="F48" i="3"/>
  <c r="I47" i="3"/>
  <c r="H47" i="3"/>
  <c r="F47" i="3"/>
  <c r="I46" i="3"/>
  <c r="H46" i="3"/>
  <c r="F46" i="3"/>
  <c r="I45" i="3"/>
  <c r="H45" i="3"/>
  <c r="F45" i="3"/>
  <c r="I44" i="3"/>
  <c r="H44" i="3"/>
  <c r="F44" i="3"/>
  <c r="I43" i="3"/>
  <c r="H43" i="3"/>
  <c r="F43" i="3"/>
  <c r="I42" i="3"/>
  <c r="H42" i="3"/>
  <c r="F42" i="3"/>
  <c r="I41" i="3"/>
  <c r="H41" i="3"/>
  <c r="F41" i="3"/>
  <c r="I40" i="3"/>
  <c r="H40" i="3"/>
  <c r="F40" i="3"/>
  <c r="I39" i="3"/>
  <c r="H39" i="3"/>
  <c r="F39" i="3"/>
  <c r="I38" i="3"/>
  <c r="H38" i="3"/>
  <c r="F38" i="3"/>
  <c r="I37" i="3"/>
  <c r="H37" i="3"/>
  <c r="F37" i="3"/>
  <c r="I36" i="3"/>
  <c r="H36" i="3"/>
  <c r="F36" i="3"/>
  <c r="I35" i="3"/>
  <c r="H35" i="3"/>
  <c r="F35" i="3"/>
  <c r="I34" i="3"/>
  <c r="H34" i="3"/>
  <c r="F34" i="3"/>
  <c r="I33" i="3"/>
  <c r="H33" i="3"/>
  <c r="F33" i="3"/>
  <c r="I32" i="3"/>
  <c r="H32" i="3"/>
  <c r="F32" i="3"/>
  <c r="I31" i="3"/>
  <c r="H31" i="3"/>
  <c r="F31" i="3"/>
  <c r="I30" i="3"/>
  <c r="H30" i="3"/>
  <c r="F30" i="3"/>
  <c r="I29" i="3"/>
  <c r="H29" i="3"/>
  <c r="F29" i="3"/>
  <c r="I28" i="3"/>
  <c r="H28" i="3"/>
  <c r="F28" i="3"/>
  <c r="I27" i="3"/>
  <c r="H27" i="3"/>
  <c r="F27" i="3"/>
  <c r="I26" i="3"/>
  <c r="H26" i="3"/>
  <c r="F26" i="3"/>
  <c r="I25" i="3"/>
  <c r="H25" i="3"/>
  <c r="F25" i="3"/>
  <c r="I24" i="3"/>
  <c r="H24" i="3"/>
  <c r="F24" i="3"/>
  <c r="I23" i="3"/>
  <c r="H23" i="3"/>
  <c r="F23" i="3"/>
  <c r="I22" i="3"/>
  <c r="H22" i="3"/>
  <c r="F22" i="3"/>
  <c r="I21" i="3"/>
  <c r="H21" i="3"/>
  <c r="F21" i="3"/>
  <c r="I20" i="3"/>
  <c r="H20" i="3"/>
  <c r="F20" i="3"/>
  <c r="I19" i="3"/>
  <c r="H19" i="3"/>
  <c r="F19" i="3"/>
  <c r="I18" i="3"/>
  <c r="H18" i="3"/>
  <c r="F18" i="3"/>
  <c r="I17" i="3"/>
  <c r="H17" i="3"/>
  <c r="F17" i="3"/>
  <c r="I16" i="3"/>
  <c r="H16" i="3"/>
  <c r="F16" i="3"/>
  <c r="I15" i="3"/>
  <c r="H15" i="3"/>
  <c r="F15" i="3"/>
  <c r="I14" i="3"/>
  <c r="H14" i="3"/>
  <c r="F14" i="3"/>
  <c r="I13" i="3"/>
  <c r="H13" i="3"/>
  <c r="F13" i="3"/>
  <c r="I12" i="3"/>
  <c r="H12" i="3"/>
  <c r="F12" i="3"/>
  <c r="I11" i="3"/>
  <c r="H11" i="3"/>
  <c r="F11" i="3"/>
  <c r="I10" i="3"/>
  <c r="H10" i="3"/>
  <c r="F10" i="3"/>
  <c r="I9" i="3"/>
  <c r="H9" i="3"/>
  <c r="F9" i="3"/>
  <c r="I8" i="3"/>
  <c r="H8" i="3"/>
  <c r="F8" i="3"/>
  <c r="I7" i="3"/>
  <c r="H7" i="3"/>
  <c r="F7" i="3"/>
  <c r="I6" i="3"/>
  <c r="H6" i="3"/>
  <c r="F6" i="3"/>
  <c r="I5" i="3"/>
  <c r="H5" i="3"/>
  <c r="F5" i="3"/>
  <c r="F3" i="3" s="1"/>
  <c r="I4" i="3"/>
  <c r="I3" i="3" s="1"/>
  <c r="C5" i="5" s="1"/>
  <c r="C7" i="5" s="1"/>
  <c r="H4" i="3"/>
  <c r="H3" i="3" s="1"/>
  <c r="C15" i="2" s="1"/>
  <c r="F4" i="3"/>
  <c r="J3" i="3"/>
  <c r="C22" i="2" s="1"/>
  <c r="F27" i="1" s="1"/>
  <c r="E3" i="3"/>
  <c r="B10" i="2"/>
  <c r="B9" i="2"/>
  <c r="B8" i="2"/>
  <c r="B7" i="2"/>
  <c r="B6" i="2"/>
  <c r="B5" i="2"/>
  <c r="C10" i="5" l="1"/>
  <c r="C20" i="2"/>
  <c r="F25" i="1" s="1"/>
  <c r="C8" i="5"/>
  <c r="C9" i="5" s="1"/>
  <c r="C23" i="2"/>
  <c r="F28" i="1" s="1"/>
  <c r="C16" i="2"/>
  <c r="F21" i="1" s="1"/>
  <c r="C17" i="2"/>
  <c r="D28" i="2" s="1"/>
  <c r="F20" i="1"/>
  <c r="C19" i="2" l="1"/>
  <c r="D26" i="2"/>
  <c r="F22" i="1"/>
  <c r="D19" i="2"/>
  <c r="D27" i="2" l="1"/>
  <c r="D20" i="2"/>
  <c r="F24" i="1"/>
</calcChain>
</file>

<file path=xl/sharedStrings.xml><?xml version="1.0" encoding="utf-8"?>
<sst xmlns="http://schemas.openxmlformats.org/spreadsheetml/2006/main" count="1001" uniqueCount="329">
  <si>
    <t>VATflow  |  United Fintec  —  UK VAT Return Template</t>
  </si>
  <si>
    <t>All VAT Schemes  ·  Making Tax Digital Compliant  ·  Boxes 1–9 Auto-Calculated</t>
  </si>
  <si>
    <t xml:space="preserve">  BUSINESS INFORMATION</t>
  </si>
  <si>
    <t>Business / Trading Name</t>
  </si>
  <si>
    <t>VAT Registration Number (VRN)</t>
  </si>
  <si>
    <t>Company Registration Number</t>
  </si>
  <si>
    <t>Registered Address</t>
  </si>
  <si>
    <t>Contact Email</t>
  </si>
  <si>
    <t>VAT Period Start</t>
  </si>
  <si>
    <t>VAT Period End</t>
  </si>
  <si>
    <t>Submission Due Date</t>
  </si>
  <si>
    <t xml:space="preserve">  VAT ACCOUNTING SCHEME SELECTOR</t>
  </si>
  <si>
    <t>VAT Accounting Scheme</t>
  </si>
  <si>
    <t>Standard (Invoice Basis)</t>
  </si>
  <si>
    <t>Flat Rate % (FRS only — enter as decimal e.g. 0.165 = 16.5%)</t>
  </si>
  <si>
    <t xml:space="preserve">  VAT RETURN SUMMARY — 9 BOXES  (live links from VAT_Return sheet)</t>
  </si>
  <si>
    <t>Box</t>
  </si>
  <si>
    <t>Description</t>
  </si>
  <si>
    <t>£ Amount</t>
  </si>
  <si>
    <t>Box 1</t>
  </si>
  <si>
    <t>VAT due on sales and other outputs</t>
  </si>
  <si>
    <t>Box 2</t>
  </si>
  <si>
    <t>VAT on EC acquisitions (Northern Ireland only)</t>
  </si>
  <si>
    <t>Box 3</t>
  </si>
  <si>
    <t>Total VAT due  [AUTO = Box 1 + Box 2]</t>
  </si>
  <si>
    <t>Box 4</t>
  </si>
  <si>
    <t>VAT reclaimed on purchases and inputs</t>
  </si>
  <si>
    <t>Box 5</t>
  </si>
  <si>
    <t>NET VAT PAYABLE  [AUTO = Box 3 − Box 4]</t>
  </si>
  <si>
    <t>Box 6</t>
  </si>
  <si>
    <t>Total value of sales excl. VAT</t>
  </si>
  <si>
    <t>Box 7</t>
  </si>
  <si>
    <t>Total value of purchases excl. VAT</t>
  </si>
  <si>
    <t>Box 8</t>
  </si>
  <si>
    <t>Goods supplied to EC member states excl. VAT</t>
  </si>
  <si>
    <t>Box 9</t>
  </si>
  <si>
    <t>Goods acquired from EC member states excl. VAT (NI only)</t>
  </si>
  <si>
    <t xml:space="preserve">  COLOUR CODING GUIDE</t>
  </si>
  <si>
    <t>AMBER background = INPUT cell — you enter data here</t>
  </si>
  <si>
    <t>GREEN background = AUTO formula — do not edit</t>
  </si>
  <si>
    <t>BLUE text = Direct input value</t>
  </si>
  <si>
    <t>GREEN text = Cross-sheet formula link</t>
  </si>
  <si>
    <t>VATflow by United Fintec Limited  ·  contact@unitedfintec.com  ·  unitedfintec.com  ·  © 2025 United Fintec Limited</t>
  </si>
  <si>
    <t>VAT RETURN — 9 BOX CALCULATION ENGINE</t>
  </si>
  <si>
    <t>Formulas link to Sales and Expenses sheets  ·  Arithmetic checks auto-validate  ·  Do NOT override AUTO cells</t>
  </si>
  <si>
    <t xml:space="preserve">  RETURN DETAILS  (linked from Dashboard sheet)</t>
  </si>
  <si>
    <t>Business Name</t>
  </si>
  <si>
    <t>VRN</t>
  </si>
  <si>
    <t>VAT Scheme</t>
  </si>
  <si>
    <t>Period Start</t>
  </si>
  <si>
    <t>Period End</t>
  </si>
  <si>
    <t>Due Date</t>
  </si>
  <si>
    <t xml:space="preserve">  9-BOX VAT RETURN — SUBMISSION VALUES</t>
  </si>
  <si>
    <t>Scheme Notes</t>
  </si>
  <si>
    <t>1</t>
  </si>
  <si>
    <t>FRS: Gross Sales Total × FRS%.   Standard/Cash/Annual/Retail: sum of VAT column (col H) from Sales.</t>
  </si>
  <si>
    <t>2</t>
  </si>
  <si>
    <t>NI Windsor Framework traders only. Enter in Sales sheet col J. All others: £0.</t>
  </si>
  <si>
    <t>3</t>
  </si>
  <si>
    <t>AUTOMATICALLY CALCULATED — do not override.</t>
  </si>
  <si>
    <t>4</t>
  </si>
  <si>
    <t>FRS: £0 normally (except capital goods ≥£2,000 incl. VAT, marked Capital Goods FRS in Expenses).   Standard/Cash: full recovery.</t>
  </si>
  <si>
    <t>5</t>
  </si>
  <si>
    <t>Net VAT payable or reclaimable  [AUTO = Box 3 − Box 4]</t>
  </si>
  <si>
    <t>6</t>
  </si>
  <si>
    <t>Total value of sales and outputs, excluding VAT</t>
  </si>
  <si>
    <t>7</t>
  </si>
  <si>
    <t>Total value of purchases and inputs, excluding VAT</t>
  </si>
  <si>
    <t>Net purchases total. Linked from Expenses sheet column F.</t>
  </si>
  <si>
    <t>8</t>
  </si>
  <si>
    <t>Goods supplied to EC member states, excluding VAT</t>
  </si>
  <si>
    <t>Post-Brexit EU goods exports. Enter in Sales sheet col J.</t>
  </si>
  <si>
    <t>9</t>
  </si>
  <si>
    <t>Total acquisitions from EC member states, excl. VAT (NI only)</t>
  </si>
  <si>
    <t>NI Windsor Framework only. Enter in Expenses sheet col I.</t>
  </si>
  <si>
    <t xml:space="preserve">  ARITHMETIC VALIDATION CHECKS</t>
  </si>
  <si>
    <t>Box 3 = Box 1 + Box 2</t>
  </si>
  <si>
    <t>Box 5 = Box 3 − Box 4</t>
  </si>
  <si>
    <t>All boxes ≥ 0</t>
  </si>
  <si>
    <t>SALES REGISTER  —  VATflow by United Fintec</t>
  </si>
  <si>
    <t>Enter each sales invoice below · VAT and Gross auto-calculate · Net Sales feeds Box 6 · VAT Amount feeds Box 1</t>
  </si>
  <si>
    <t>TOTALS</t>
  </si>
  <si>
    <t>Invoice No.</t>
  </si>
  <si>
    <t>Customer / Client Name</t>
  </si>
  <si>
    <t>Invoice Date</t>
  </si>
  <si>
    <t>Net Amount £
(Enter Here)</t>
  </si>
  <si>
    <t>20%</t>
  </si>
  <si>
    <t>EC Supply £
(→ Box 8)</t>
  </si>
  <si>
    <t>Category</t>
  </si>
  <si>
    <t>EXPENSES &amp; PURCHASES REGISTER  —  VATflow by United Fintec</t>
  </si>
  <si>
    <t>⚠  FRS: Flat Rate traders CANNOT normally claim input VAT (Box 4 = £0).  Exception: single capital goods purchase ≥ £2,000 incl. VAT — select 'Capital Goods FRS'.  Standard / Cash / Annual / Retail: select 'Claimable' — VAT auto-adds to Box 4.</t>
  </si>
  <si>
    <t>Receipt/Inv No.</t>
  </si>
  <si>
    <t>Supplier Name</t>
  </si>
  <si>
    <t>Purchase Date</t>
  </si>
  <si>
    <t>EC Acq Type</t>
  </si>
  <si>
    <t>Not Claimable (FRS)</t>
  </si>
  <si>
    <t>FLAT RATE SCHEME (FRS) CALCULATOR  —  HMRC VAT Notice 733</t>
  </si>
  <si>
    <t>Enter your sector rate below · All values link from the Sales and Dashboard sheets</t>
  </si>
  <si>
    <t xml:space="preserve">  FRS CALCULATION</t>
  </si>
  <si>
    <t>Gross Sales Total (incl. VAT) — from Sales sheet</t>
  </si>
  <si>
    <t>FRS Percentage — from Dashboard</t>
  </si>
  <si>
    <t>VAT Payable (Box 1) = Gross × FRS%</t>
  </si>
  <si>
    <t>VAT Charged to Customers (20% standard)</t>
  </si>
  <si>
    <t>FRS SAVING vs Standard Rate  (Box 1 saving)</t>
  </si>
  <si>
    <t>Net Sales (excl. VAT) — from Sales sheet</t>
  </si>
  <si>
    <t xml:space="preserve">  HMRC FRS SECTOR PERCENTAGES (2025)</t>
  </si>
  <si>
    <t>Business Sector</t>
  </si>
  <si>
    <t>FRS Rate</t>
  </si>
  <si>
    <t>Limited Cost
Trader Rate</t>
  </si>
  <si>
    <t>Notes</t>
  </si>
  <si>
    <t>Accountancy / bookkeeping</t>
  </si>
  <si>
    <t>14.5%</t>
  </si>
  <si>
    <t>16.5%</t>
  </si>
  <si>
    <t>If goods &lt; 2% turnover</t>
  </si>
  <si>
    <t>IT &amp; computer services</t>
  </si>
  <si>
    <t>Management consultancy</t>
  </si>
  <si>
    <t>14.0%</t>
  </si>
  <si>
    <t>Financial services</t>
  </si>
  <si>
    <t>13.5%</t>
  </si>
  <si>
    <t>Legal services</t>
  </si>
  <si>
    <t>Business services (general)</t>
  </si>
  <si>
    <t>12.0%</t>
  </si>
  <si>
    <t>Catering / takeaway</t>
  </si>
  <si>
    <t>12.5%</t>
  </si>
  <si>
    <t>Includes hot food</t>
  </si>
  <si>
    <t>Retail — general</t>
  </si>
  <si>
    <t>7.5%</t>
  </si>
  <si>
    <t>Mixed goods</t>
  </si>
  <si>
    <t>Transport &amp; logistics</t>
  </si>
  <si>
    <t>10.0%</t>
  </si>
  <si>
    <t>Road haulage</t>
  </si>
  <si>
    <t>Healthcare</t>
  </si>
  <si>
    <t>Registered practitioners</t>
  </si>
  <si>
    <t>Property letting</t>
  </si>
  <si>
    <t>8.5%</t>
  </si>
  <si>
    <t>VAT-registered lettings</t>
  </si>
  <si>
    <t>Recruitment / labour</t>
  </si>
  <si>
    <t>Staff supply</t>
  </si>
  <si>
    <t>Training / education</t>
  </si>
  <si>
    <t>VAT-registered bodies</t>
  </si>
  <si>
    <t>Construction</t>
  </si>
  <si>
    <t>9.5%</t>
  </si>
  <si>
    <t>General building</t>
  </si>
  <si>
    <t>Hotel / accommodation</t>
  </si>
  <si>
    <t>10.5%</t>
  </si>
  <si>
    <t>Room only</t>
  </si>
  <si>
    <t>UK VAT ACCOUNTING SCHEMES — COMPLETE GUIDE</t>
  </si>
  <si>
    <t>Reference guide for all 5 HMRC VAT accounting schemes  ·  Current rules 2025</t>
  </si>
  <si>
    <t xml:space="preserve">  STANDARD (INVOICE BASIS)</t>
  </si>
  <si>
    <t>Field</t>
  </si>
  <si>
    <t>Detail</t>
  </si>
  <si>
    <t>VAT charged on</t>
  </si>
  <si>
    <t>All sales invoices issued in the period</t>
  </si>
  <si>
    <t>VAT reclaimed on</t>
  </si>
  <si>
    <t>All purchase invoices received in the period</t>
  </si>
  <si>
    <t>Sum of VAT on all sales invoices</t>
  </si>
  <si>
    <t>Sum of VAT on all purchase invoices</t>
  </si>
  <si>
    <t>Box 3 − Box 4</t>
  </si>
  <si>
    <t>Key advantage</t>
  </si>
  <si>
    <t>Full input VAT recovery on all purchases</t>
  </si>
  <si>
    <t>Key consideration</t>
  </si>
  <si>
    <t>Pay VAT when invoiced — even if customer hasn't paid yet</t>
  </si>
  <si>
    <t>HMRC reference</t>
  </si>
  <si>
    <t>VAT Notice 700</t>
  </si>
  <si>
    <t xml:space="preserve">  CASH ACCOUNTING SCHEME</t>
  </si>
  <si>
    <t>VAT accounted</t>
  </si>
  <si>
    <t>When payment received (sales) / made (purchases)</t>
  </si>
  <si>
    <t>VAT on payments received in period</t>
  </si>
  <si>
    <t>VAT on payments made in period</t>
  </si>
  <si>
    <t>Only pay VAT when customer pays you — helps cash flow</t>
  </si>
  <si>
    <t>Cannot use if any customer owes more than £10,000 over 6 months</t>
  </si>
  <si>
    <t>Join/leave</t>
  </si>
  <si>
    <t>Join when turnover ≤ £1.35m. Leave if exceeds £1.6m.</t>
  </si>
  <si>
    <t>VAT Notice 731</t>
  </si>
  <si>
    <t xml:space="preserve">  FLAT RATE SCHEME (FRS)</t>
  </si>
  <si>
    <t>Gross turnover (incl. VAT) × your flat rate %</t>
  </si>
  <si>
    <t>Usually £0 — no input VAT recovery</t>
  </si>
  <si>
    <t>Exception</t>
  </si>
  <si>
    <t>Capital goods ≥ £2,000 incl. VAT: you CAN claim input VAT separately</t>
  </si>
  <si>
    <t>Limited Cost Trader</t>
  </si>
  <si>
    <t>If goods &lt; 2% of turnover OR &lt; £1,000/yr → use 16.5%</t>
  </si>
  <si>
    <t>First year discount</t>
  </si>
  <si>
    <t>New VAT registrations get 1% reduction in first year</t>
  </si>
  <si>
    <t>Profit</t>
  </si>
  <si>
    <t>Keep the difference between VAT charged (20%) and FRS rate</t>
  </si>
  <si>
    <t>Leave when</t>
  </si>
  <si>
    <t>Turnover exceeds £230,000. Must leave if expected to exceed.</t>
  </si>
  <si>
    <t>VAT Notice 733</t>
  </si>
  <si>
    <t xml:space="preserve">  ANNUAL ACCOUNTING SCHEME</t>
  </si>
  <si>
    <t>Returns</t>
  </si>
  <si>
    <t>One annual return covering the full 12-month period</t>
  </si>
  <si>
    <t>Advance payments</t>
  </si>
  <si>
    <t>9 interim payments (10% of previous year's liability) months 4-12</t>
  </si>
  <si>
    <t>Balancing payment</t>
  </si>
  <si>
    <t>Due with annual return</t>
  </si>
  <si>
    <t>Advantage</t>
  </si>
  <si>
    <t>Reduces admin to a single annual filing</t>
  </si>
  <si>
    <t>Consideration</t>
  </si>
  <si>
    <t>You may overpay throughout the year if turnover drops</t>
  </si>
  <si>
    <t>VAT Notice 732</t>
  </si>
  <si>
    <t xml:space="preserve">  RETAIL SCHEME</t>
  </si>
  <si>
    <t>Calculation</t>
  </si>
  <si>
    <t>Uses Daily Gross Takings (DGT) × applicable VAT fraction</t>
  </si>
  <si>
    <t>Methods</t>
  </si>
  <si>
    <t>Point of Sale, Apportionment (1 or 2), Direct Calculation</t>
  </si>
  <si>
    <t>DGT × (VAT rate / (100 + VAT rate)) for each rate applied</t>
  </si>
  <si>
    <t>Standard input VAT recovery on purchases</t>
  </si>
  <si>
    <t>Who uses it</t>
  </si>
  <si>
    <t>Retailers where recording VAT per item is impractical</t>
  </si>
  <si>
    <t>Schemes</t>
  </si>
  <si>
    <t>Three approved methods: 1, 2, and 3 (turnover-based eligibility)</t>
  </si>
  <si>
    <t>VAT Notice 727</t>
  </si>
  <si>
    <t>USER GUIDE  —  HOW TO USE VATFLOW EXCEL TEMPLATE</t>
  </si>
  <si>
    <t>Follow these steps in order · Blue cells = you enter data · Green cells = auto-calculated, do not edit</t>
  </si>
  <si>
    <t>STEP 1</t>
  </si>
  <si>
    <t>ENTER BUSINESS DETAILS ON DASHBOARD</t>
  </si>
  <si>
    <t>What to do</t>
  </si>
  <si>
    <t>Go to the DASHBOARD sheet (first tab)</t>
  </si>
  <si>
    <t>Enter</t>
  </si>
  <si>
    <t>Your business name, VAT registration number (VRN), company reg. number, address</t>
  </si>
  <si>
    <t>Check email</t>
  </si>
  <si>
    <t>Contact email should be contact@unitedfintec.com — update if needed</t>
  </si>
  <si>
    <t>Enter dates</t>
  </si>
  <si>
    <t>VAT period start date, end date, and submission due date</t>
  </si>
  <si>
    <t>Select scheme</t>
  </si>
  <si>
    <t>Choose your VAT accounting scheme from the dropdown (cell B15)</t>
  </si>
  <si>
    <t>FRS only</t>
  </si>
  <si>
    <t>If using Flat Rate Scheme, enter your sector percentage in cell B16 (e.g. 0.165 for 16.5%)</t>
  </si>
  <si>
    <t>STEP 2</t>
  </si>
  <si>
    <t>ENTER YOUR SALES / INVOICES ON THE SALES SHEET</t>
  </si>
  <si>
    <t>Navigate</t>
  </si>
  <si>
    <t>Click the SALES tab</t>
  </si>
  <si>
    <t>Enter your invoice number in column B</t>
  </si>
  <si>
    <t>Customer</t>
  </si>
  <si>
    <t>Enter customer or client name in column C</t>
  </si>
  <si>
    <t>Date</t>
  </si>
  <si>
    <t>Enter the invoice date (date of supply) in column D — format DD/MM/YYYY</t>
  </si>
  <si>
    <t>Net Amount</t>
  </si>
  <si>
    <t>Enter the NET amount (excluding VAT) in column E — this is the only amount you type</t>
  </si>
  <si>
    <t>VAT Rate</t>
  </si>
  <si>
    <t>Select the VAT rate from the dropdown in column G: 0%, 5%, or 20%</t>
  </si>
  <si>
    <t>Auto-calculated</t>
  </si>
  <si>
    <t>Column H (VAT Amount) and column I (Gross Total) calculate automatically — do not edit</t>
  </si>
  <si>
    <t>EC Supply</t>
  </si>
  <si>
    <t>If goods were supplied to EU member states (post-Brexit exports), enter the net value in column J</t>
  </si>
  <si>
    <t>Select a category from the dropdown in column K</t>
  </si>
  <si>
    <t>FRS note</t>
  </si>
  <si>
    <t>For Flat Rate Scheme: Box 1 uses Gross Sales × FRS%. The VAT Amount column is still calculated but FRS uses gross × rate.</t>
  </si>
  <si>
    <t>STEP 3</t>
  </si>
  <si>
    <t>ENTER YOUR EXPENSES / PURCHASES ON THE EXPENSES SHEET</t>
  </si>
  <si>
    <t>Click the EXPENSES tab</t>
  </si>
  <si>
    <t>Receipt/Invoice</t>
  </si>
  <si>
    <t>Enter the receipt or supplier invoice number in column B</t>
  </si>
  <si>
    <t>Supplier</t>
  </si>
  <si>
    <t>Enter the supplier name in column C</t>
  </si>
  <si>
    <t>Enter the purchase date in column D</t>
  </si>
  <si>
    <t>Enter the NET purchase amount (excluding VAT) in column E</t>
  </si>
  <si>
    <t>Select the VAT rate from the dropdown in column G</t>
  </si>
  <si>
    <t>Reclaim Type</t>
  </si>
  <si>
    <t>IMPORTANT: Select the appropriate type in column K:</t>
  </si>
  <si>
    <t>→ Claimable</t>
  </si>
  <si>
    <t>Standard / Cash / Annual / Retail schemes: select 'Claimable' for all business purchases</t>
  </si>
  <si>
    <t>→ Not Claimable (FRS)</t>
  </si>
  <si>
    <t>Flat Rate Scheme traders: select 'Not Claimable (FRS)' for ALL normal purchases</t>
  </si>
  <si>
    <t>→ Capital Goods FRS</t>
  </si>
  <si>
    <t>FRS only: if the purchase is a SINGLE item costing £2,000 or more (incl. VAT), select 'Capital Goods FRS' — you CAN reclaim VAT on this</t>
  </si>
  <si>
    <t>Column H (VAT Amount) and column I (Gross Total) auto-calculate</t>
  </si>
  <si>
    <t>STEP 4</t>
  </si>
  <si>
    <t>CHECK THE VAT_Return SHEET</t>
  </si>
  <si>
    <t>Click the VAT_Return tab</t>
  </si>
  <si>
    <t>Verify</t>
  </si>
  <si>
    <t>All 9 boxes should now show calculated values linked from your Sales and Expenses data</t>
  </si>
  <si>
    <t>Arithmetic checks</t>
  </si>
  <si>
    <t>Scroll down to the Arithmetic Validation section — all three checks should show ✓ PASS</t>
  </si>
  <si>
    <t>This is your NET VAT PAYABLE. Positive = you owe HMRC. Negative = HMRC owes you a repayment.</t>
  </si>
  <si>
    <t>Do not edit</t>
  </si>
  <si>
    <t>GREEN cells are formulas. AMBER cells link from the Dashboard. Do not manually override.</t>
  </si>
  <si>
    <t>FRS users</t>
  </si>
  <si>
    <t>Box 4 will show £0 for FRS (this is correct unless you have Capital Goods exceptions).</t>
  </si>
  <si>
    <t>STEP 5</t>
  </si>
  <si>
    <t>REVIEW THE DASHBOARD SUMMARY</t>
  </si>
  <si>
    <t>Go back to the DASHBOARD tab</t>
  </si>
  <si>
    <t>Summary</t>
  </si>
  <si>
    <t>The 9-box summary at the bottom shows all values linked live from VAT_Return</t>
  </si>
  <si>
    <t>Box 5 check</t>
  </si>
  <si>
    <t>Verify the Net VAT Payable (Box 5) is what you expect</t>
  </si>
  <si>
    <t>Cross-check</t>
  </si>
  <si>
    <t>Compare your Box 6 (Net Sales) against your records to confirm all invoices are entered</t>
  </si>
  <si>
    <t>STEP 6</t>
  </si>
  <si>
    <t>UPLOAD TO VATFLOW APPLICATION</t>
  </si>
  <si>
    <t>Save the file</t>
  </si>
  <si>
    <t>Save this completed Excel file with a clear name e.g. 'VAT_Return_Q1_2025.xlsx'</t>
  </si>
  <si>
    <t>Open VATflow</t>
  </si>
  <si>
    <t>Go to vatflow.co.uk and sign in to your account</t>
  </si>
  <si>
    <t>Upload</t>
  </si>
  <si>
    <t>Navigate to Excel Template → Upload Template → drag and drop or browse to your file</t>
  </si>
  <si>
    <t>Auto-populate</t>
  </si>
  <si>
    <t>VATflow reads the 9-box values and populates your digital VAT return automatically</t>
  </si>
  <si>
    <t>Validate</t>
  </si>
  <si>
    <t>Run the validation check in VATflow before submitting</t>
  </si>
  <si>
    <t>Submit</t>
  </si>
  <si>
    <t>Click Submit to HMRC — VATflow sends the return via the MTD API directly</t>
  </si>
  <si>
    <t>Digital link</t>
  </si>
  <si>
    <t>Uploading this file maintains the digital link required by HMRC MTD (SI 2018/261)</t>
  </si>
  <si>
    <t>STEP 7</t>
  </si>
  <si>
    <t>RECORD KEEPING — YOUR LEGAL OBLIGATION</t>
  </si>
  <si>
    <t>Keep for 6 years</t>
  </si>
  <si>
    <t>HMRC requires digital VAT records to be kept for 6 years (10 years for VAT MOSS)</t>
  </si>
  <si>
    <t>This file is your record</t>
  </si>
  <si>
    <t>This Excel file IS your digital record under MTD regulations (SI 2018/261)</t>
  </si>
  <si>
    <t>Do not retype</t>
  </si>
  <si>
    <t>NEVER manually retype numbers between spreadsheets — this breaks the digital link</t>
  </si>
  <si>
    <t>Archive</t>
  </si>
  <si>
    <t>Save each completed return as a separate file with the period in the filename</t>
  </si>
  <si>
    <t>Backup</t>
  </si>
  <si>
    <t>Keep at least one backup copy in cloud storage (OneDrive, Google Drive, etc.)</t>
  </si>
  <si>
    <t xml:space="preserve">  FREQUENTLY ASKED QUESTIONS</t>
  </si>
  <si>
    <t>Q: Can I use this template with my own spreadsheet?</t>
  </si>
  <si>
    <t>A: Yes. You can import CSV or Excel files via VATflow's Digital Records page. VATflow maintains the digital link. Do not manually retype values between systems.</t>
  </si>
  <si>
    <t>Q: What if I have both 0% and 20% rated sales?</t>
  </si>
  <si>
    <t>A: Enter each invoice on a separate row in the Sales sheet. Select the correct VAT rate from the dropdown for each row. Totals auto-calculate correctly.</t>
  </si>
  <si>
    <t>Q: I'm on FRS — why is Box 4 showing £0?</t>
  </si>
  <si>
    <t>A: This is correct. FRS traders do not normally reclaim input VAT (Box 4 = £0). The exception is capital goods costing £2,000 or more incl. VAT — mark these as 'Capital Goods FRS' in the Expenses sheet.</t>
  </si>
  <si>
    <t>Q: What is a Limited Cost Trader (FRS)?</t>
  </si>
  <si>
    <t>A: If your goods (not services) cost less than 2% of your turnover OR less than £1,000 per year, you must use the 16.5% Limited Cost Trader rate. Check the FRS_Calculator sheet for your sector rate.</t>
  </si>
  <si>
    <t>Q: How do I correct an error after submitting?</t>
  </si>
  <si>
    <t>A: Errors of £10,000 or less (or 1% of Box 6, whichever is higher) can be corrected on your next return. Larger errors require HMRC form VAT652. Contact HMRC or your accountant.</t>
  </si>
  <si>
    <t>Q: The arithmetic checks show an error — what should I do?</t>
  </si>
  <si>
    <t>A: Check that Box 1 and Box 2 values are correct on the VAT_Return sheet. The auto-calculated boxes (3 and 5) should always equal the formula values. Do not manually override green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</si>
</sst>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£#,##0.00;[Red]&quot;(£&quot;#,##0.00\);\-"/>
    <numFmt numFmtId="166" formatCode="\£#,##0.00"/>
  </numFmts>
  <fonts count="32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0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B3D6E"/>
      <name val="Calibri"/>
      <charset val="1"/>
    </font>
    <font>
      <sz val="10"/>
      <color rgb="FF0000FF"/>
      <name val="Calibri"/>
      <charset val="1"/>
    </font>
    <font>
      <b/>
      <sz val="11"/>
      <color rgb="FF0000FF"/>
      <name val="Calibri"/>
      <charset val="1"/>
    </font>
    <font>
      <sz val="10"/>
      <color rgb="FF1B3D6E"/>
      <name val="Calibri"/>
      <charset val="1"/>
    </font>
    <font>
      <b/>
      <sz val="10"/>
      <color rgb="FF0F2447"/>
      <name val="Calibri"/>
      <charset val="1"/>
    </font>
    <font>
      <b/>
      <sz val="10"/>
      <color rgb="FFE8951A"/>
      <name val="Calibri"/>
      <charset val="1"/>
    </font>
    <font>
      <sz val="10"/>
      <color rgb="FF008000"/>
      <name val="Calibri"/>
      <charset val="1"/>
    </font>
    <font>
      <b/>
      <sz val="10"/>
      <color rgb="FF008000"/>
      <name val="Calibri"/>
      <charset val="1"/>
    </font>
    <font>
      <b/>
      <sz val="10"/>
      <color rgb="FF1A7A5E"/>
      <name val="Calibri"/>
      <charset val="1"/>
    </font>
    <font>
      <b/>
      <sz val="11"/>
      <color rgb="FF1A7A5E"/>
      <name val="Calibri"/>
      <charset val="1"/>
    </font>
    <font>
      <sz val="9"/>
      <color rgb="FF1B3D6E"/>
      <name val="Calibri"/>
      <charset val="1"/>
    </font>
    <font>
      <sz val="9"/>
      <color rgb="FF1A7A5E"/>
      <name val="Calibri"/>
      <charset val="1"/>
    </font>
    <font>
      <sz val="9"/>
      <color rgb="FF0000FF"/>
      <name val="Calibri"/>
      <charset val="1"/>
    </font>
    <font>
      <sz val="9"/>
      <color rgb="FF008000"/>
      <name val="Calibri"/>
      <charset val="1"/>
    </font>
    <font>
      <i/>
      <sz val="9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i/>
      <sz val="9"/>
      <color rgb="FF555555"/>
      <name val="Calibri"/>
      <charset val="1"/>
    </font>
    <font>
      <b/>
      <sz val="10"/>
      <color rgb="FF000000"/>
      <name val="Calibri"/>
      <charset val="1"/>
    </font>
    <font>
      <b/>
      <sz val="14"/>
      <color rgb="FFFFFFFF"/>
      <name val="Calibri"/>
      <charset val="1"/>
    </font>
    <font>
      <sz val="8"/>
      <color rgb="FF999999"/>
      <name val="Calibri"/>
      <charset val="1"/>
    </font>
    <font>
      <b/>
      <sz val="9"/>
      <color rgb="FF000000"/>
      <name val="Calibri"/>
      <charset val="1"/>
    </font>
    <font>
      <i/>
      <sz val="9"/>
      <color rgb="FF8B4500"/>
      <name val="Calibri"/>
      <charset val="1"/>
    </font>
    <font>
      <sz val="9"/>
      <color rgb="FF8B4500"/>
      <name val="Calibri"/>
      <charset val="1"/>
    </font>
    <font>
      <i/>
      <sz val="9"/>
      <color rgb="FF777777"/>
      <name val="Calibri"/>
      <charset val="1"/>
    </font>
    <font>
      <b/>
      <sz val="9"/>
      <color rgb="FF1B3D6E"/>
      <name val="Calibri"/>
      <charset val="1"/>
    </font>
    <font>
      <b/>
      <i/>
      <sz val="9"/>
      <color rgb="FF8B4500"/>
      <name val="Calibri"/>
      <charset val="1"/>
    </font>
    <font>
      <b/>
      <sz val="9"/>
      <color rgb="FFFFFFFF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D6E"/>
        <bgColor rgb="FF0F2447"/>
      </patternFill>
    </fill>
    <fill>
      <patternFill patternType="solid">
        <fgColor rgb="FFE8951A"/>
        <bgColor rgb="FFFF6600"/>
      </patternFill>
    </fill>
    <fill>
      <patternFill patternType="solid">
        <fgColor rgb="FF0F2447"/>
        <bgColor rgb="FF1B3D6E"/>
      </patternFill>
    </fill>
    <fill>
      <patternFill patternType="solid">
        <fgColor rgb="FFF4F6FA"/>
        <bgColor rgb="FFEEF1F7"/>
      </patternFill>
    </fill>
    <fill>
      <patternFill patternType="solid">
        <fgColor rgb="FFFFF3DC"/>
        <bgColor rgb="FFFFF8E1"/>
      </patternFill>
    </fill>
    <fill>
      <patternFill patternType="solid">
        <fgColor rgb="FFEEF1F7"/>
        <bgColor rgb="FFF4F6FA"/>
      </patternFill>
    </fill>
    <fill>
      <patternFill patternType="solid">
        <fgColor rgb="FFFFFFFF"/>
        <bgColor rgb="FFF4F6FA"/>
      </patternFill>
    </fill>
    <fill>
      <patternFill patternType="solid">
        <fgColor rgb="FF1A7A5E"/>
        <bgColor rgb="FF2E7D32"/>
      </patternFill>
    </fill>
    <fill>
      <patternFill patternType="solid">
        <fgColor rgb="FFE6F5F1"/>
        <bgColor rgb="FFE8F5E9"/>
      </patternFill>
    </fill>
    <fill>
      <patternFill patternType="solid">
        <fgColor rgb="FFDDE2EC"/>
        <bgColor rgb="FFE3F2FD"/>
      </patternFill>
    </fill>
    <fill>
      <patternFill patternType="solid">
        <fgColor rgb="FFFFF8E1"/>
        <bgColor rgb="FFFFF3DC"/>
      </patternFill>
    </fill>
    <fill>
      <patternFill patternType="solid">
        <fgColor rgb="FFE8F5E9"/>
        <bgColor rgb="FFE6F5F1"/>
      </patternFill>
    </fill>
    <fill>
      <patternFill patternType="solid">
        <fgColor rgb="FFE3F2FD"/>
        <bgColor rgb="FFE6F5F1"/>
      </patternFill>
    </fill>
    <fill>
      <patternFill patternType="solid">
        <fgColor rgb="FF2E7D32"/>
        <bgColor rgb="FF1A7A5E"/>
      </patternFill>
    </fill>
    <fill>
      <patternFill patternType="solid">
        <fgColor rgb="FF1565C0"/>
        <bgColor rgb="FF3366FF"/>
      </patternFill>
    </fill>
  </fills>
  <borders count="5">
    <border>
      <left/>
      <right/>
      <top/>
      <bottom/>
      <diagonal/>
    </border>
    <border>
      <left style="thin">
        <color rgb="FFDDE2EC"/>
      </left>
      <right/>
      <top style="thin">
        <color rgb="FFDDE2EC"/>
      </top>
      <bottom style="thin">
        <color rgb="FFDDE2EC"/>
      </bottom>
      <diagonal/>
    </border>
    <border>
      <left style="thin">
        <color rgb="FFDDE2EC"/>
      </left>
      <right style="thin">
        <color rgb="FFDDE2EC"/>
      </right>
      <top style="thin">
        <color rgb="FFDDE2EC"/>
      </top>
      <bottom style="thin">
        <color rgb="FFDDE2EC"/>
      </bottom>
      <diagonal/>
    </border>
    <border>
      <left/>
      <right/>
      <top style="thin">
        <color rgb="FFDDE2EC"/>
      </top>
      <bottom style="thin">
        <color rgb="FFDDE2EC"/>
      </bottom>
      <diagonal/>
    </border>
    <border>
      <left/>
      <right style="thin">
        <color rgb="FFDDE2EC"/>
      </right>
      <top style="thin">
        <color rgb="FFDDE2EC"/>
      </top>
      <bottom style="thin">
        <color rgb="FFDDE2E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2" fillId="10" borderId="1" xfId="0" applyFont="1" applyFill="1" applyBorder="1" applyAlignment="1">
      <alignment horizontal="left" vertical="center" wrapText="1"/>
    </xf>
    <xf numFmtId="165" fontId="11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165" fontId="10" fillId="7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165" fontId="5" fillId="6" borderId="2" xfId="0" applyNumberFormat="1" applyFont="1" applyFill="1" applyBorder="1" applyAlignment="1">
      <alignment horizontal="right" vertical="center"/>
    </xf>
    <xf numFmtId="0" fontId="21" fillId="5" borderId="2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165" fontId="22" fillId="7" borderId="2" xfId="0" applyNumberFormat="1" applyFont="1" applyFill="1" applyBorder="1" applyAlignment="1">
      <alignment horizontal="right" vertical="center"/>
    </xf>
    <xf numFmtId="0" fontId="20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left" vertical="center" wrapText="1"/>
    </xf>
    <xf numFmtId="165" fontId="13" fillId="10" borderId="2" xfId="0" applyNumberFormat="1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14" fontId="16" fillId="6" borderId="2" xfId="0" applyNumberFormat="1" applyFont="1" applyFill="1" applyBorder="1" applyAlignment="1">
      <alignment horizontal="center" vertical="center" wrapText="1"/>
    </xf>
    <xf numFmtId="165" fontId="16" fillId="6" borderId="2" xfId="0" applyNumberFormat="1" applyFont="1" applyFill="1" applyBorder="1" applyAlignment="1">
      <alignment horizontal="right" vertical="center" wrapText="1"/>
    </xf>
    <xf numFmtId="165" fontId="25" fillId="5" borderId="2" xfId="0" applyNumberFormat="1" applyFont="1" applyFill="1" applyBorder="1" applyAlignment="1">
      <alignment horizontal="right" vertical="center"/>
    </xf>
    <xf numFmtId="9" fontId="16" fillId="6" borderId="2" xfId="0" applyNumberFormat="1" applyFont="1" applyFill="1" applyBorder="1" applyAlignment="1">
      <alignment horizontal="center" vertical="center" wrapText="1"/>
    </xf>
    <xf numFmtId="165" fontId="25" fillId="10" borderId="2" xfId="0" applyNumberFormat="1" applyFont="1" applyFill="1" applyBorder="1" applyAlignment="1">
      <alignment horizontal="right" vertical="center"/>
    </xf>
    <xf numFmtId="165" fontId="25" fillId="8" borderId="2" xfId="0" applyNumberFormat="1" applyFont="1" applyFill="1" applyBorder="1" applyAlignment="1">
      <alignment horizontal="right" vertical="center"/>
    </xf>
    <xf numFmtId="166" fontId="10" fillId="7" borderId="2" xfId="0" applyNumberFormat="1" applyFont="1" applyFill="1" applyBorder="1" applyAlignment="1">
      <alignment horizontal="right" vertical="center"/>
    </xf>
    <xf numFmtId="164" fontId="10" fillId="7" borderId="2" xfId="0" applyNumberFormat="1" applyFont="1" applyFill="1" applyBorder="1" applyAlignment="1">
      <alignment horizontal="right" vertical="center"/>
    </xf>
    <xf numFmtId="166" fontId="13" fillId="10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left" vertical="center" wrapText="1"/>
    </xf>
    <xf numFmtId="165" fontId="13" fillId="10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4" fontId="10" fillId="7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F4F6FA"/>
      <rgbColor rgb="FF777777"/>
      <rgbColor rgb="FF9999FF"/>
      <rgbColor rgb="FFB71C1C"/>
      <rgbColor rgb="FFFFF8E1"/>
      <rgbColor rgb="FFE3F2FD"/>
      <rgbColor rgb="FF660066"/>
      <rgbColor rgb="FFFF8080"/>
      <rgbColor rgb="FF1565C0"/>
      <rgbColor rgb="FFDDE2EC"/>
      <rgbColor rgb="FF000080"/>
      <rgbColor rgb="FFFF00FF"/>
      <rgbColor rgb="FFFFFF00"/>
      <rgbColor rgb="FF00FFFF"/>
      <rgbColor rgb="FF800080"/>
      <rgbColor rgb="FF800000"/>
      <rgbColor rgb="FF1A7A5E"/>
      <rgbColor rgb="FF0000FF"/>
      <rgbColor rgb="FF00CCFF"/>
      <rgbColor rgb="FFE6F5F1"/>
      <rgbColor rgb="FFE8F5E9"/>
      <rgbColor rgb="FFFFF3DC"/>
      <rgbColor rgb="FF99CCFF"/>
      <rgbColor rgb="FFFF99CC"/>
      <rgbColor rgb="FFCC99FF"/>
      <rgbColor rgb="FFEEF1F7"/>
      <rgbColor rgb="FF3366FF"/>
      <rgbColor rgb="FF33CCCC"/>
      <rgbColor rgb="FF99CC00"/>
      <rgbColor rgb="FFFFCC00"/>
      <rgbColor rgb="FFE8951A"/>
      <rgbColor rgb="FFFF6600"/>
      <rgbColor rgb="FF455A64"/>
      <rgbColor rgb="FF999999"/>
      <rgbColor rgb="FF1B3D6E"/>
      <rgbColor rgb="FF2E7D32"/>
      <rgbColor rgb="FF003300"/>
      <rgbColor rgb="FF333300"/>
      <rgbColor rgb="FF8B4500"/>
      <rgbColor rgb="FF993366"/>
      <rgbColor rgb="FF555555"/>
      <rgbColor rgb="FF0F2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152400</xdr:rowOff>
    </xdr:from>
    <xdr:to>
      <xdr:col>0</xdr:col>
      <xdr:colOff>1445559</xdr:colOff>
      <xdr:row>0</xdr:row>
      <xdr:rowOff>549088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152400"/>
          <a:ext cx="1378884" cy="396688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66675</xdr:rowOff>
    </xdr:from>
    <xdr:to>
      <xdr:col>1</xdr:col>
      <xdr:colOff>542925</xdr:colOff>
      <xdr:row>0</xdr:row>
      <xdr:rowOff>438150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2E38E8A-0129-4F9F-B9C5-EA56C15BCEB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400" y="66675"/>
          <a:ext cx="1238250" cy="3714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D6E"/>
  </sheetPr>
  <dimension ref="A1:H34"/>
  <sheetViews>
    <sheetView showGridLines="0" tabSelected="1" zoomScale="85" zoomScaleNormal="85" workbookViewId="0">
      <selection activeCell="B5" sqref="B5:F5"/>
    </sheetView>
  </sheetViews>
  <sheetFormatPr defaultColWidth="8.7109375" defaultRowHeight="15" x14ac:dyDescent="0.25"/>
  <cols>
    <col min="1" max="1" width="48.85546875" style="15" bestFit="1" customWidth="1"/>
    <col min="2" max="2" width="22" style="15" customWidth="1"/>
    <col min="3" max="3" width="20" style="15" customWidth="1"/>
    <col min="4" max="5" width="18" style="15" customWidth="1"/>
    <col min="6" max="7" width="16" style="15" customWidth="1"/>
    <col min="8" max="8" width="6" style="15" customWidth="1"/>
  </cols>
  <sheetData>
    <row r="1" spans="1:8" ht="51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9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ht="7.5" customHeight="1" x14ac:dyDescent="0.25"/>
    <row r="4" spans="1:8" ht="19.5" customHeight="1" x14ac:dyDescent="0.25">
      <c r="A4" s="12" t="s">
        <v>2</v>
      </c>
      <c r="B4" s="12"/>
      <c r="C4" s="12"/>
      <c r="D4" s="12"/>
      <c r="E4" s="12"/>
      <c r="F4" s="12"/>
      <c r="G4" s="12"/>
      <c r="H4" s="12"/>
    </row>
    <row r="5" spans="1:8" ht="21.75" customHeight="1" x14ac:dyDescent="0.25">
      <c r="A5" s="16" t="s">
        <v>3</v>
      </c>
      <c r="B5" s="11"/>
      <c r="C5" s="11"/>
      <c r="D5" s="11"/>
      <c r="E5" s="11"/>
      <c r="F5" s="11"/>
    </row>
    <row r="6" spans="1:8" ht="21.75" customHeight="1" x14ac:dyDescent="0.25">
      <c r="A6" s="16" t="s">
        <v>4</v>
      </c>
      <c r="B6" s="11"/>
      <c r="C6" s="11"/>
      <c r="D6" s="11"/>
      <c r="E6" s="11"/>
      <c r="F6" s="11"/>
    </row>
    <row r="7" spans="1:8" ht="21.75" customHeight="1" x14ac:dyDescent="0.25">
      <c r="A7" s="16" t="s">
        <v>5</v>
      </c>
      <c r="B7" s="11"/>
      <c r="C7" s="11"/>
      <c r="D7" s="11"/>
      <c r="E7" s="11"/>
      <c r="F7" s="11"/>
    </row>
    <row r="8" spans="1:8" ht="21.75" customHeight="1" x14ac:dyDescent="0.25">
      <c r="A8" s="16" t="s">
        <v>6</v>
      </c>
      <c r="B8" s="11"/>
      <c r="C8" s="11"/>
      <c r="D8" s="11"/>
      <c r="E8" s="11"/>
      <c r="F8" s="11"/>
    </row>
    <row r="9" spans="1:8" ht="21.75" customHeight="1" x14ac:dyDescent="0.25">
      <c r="A9" s="16" t="s">
        <v>7</v>
      </c>
      <c r="B9" s="11"/>
      <c r="C9" s="11"/>
      <c r="D9" s="11"/>
      <c r="E9" s="11"/>
      <c r="F9" s="11"/>
    </row>
    <row r="10" spans="1:8" ht="21.75" customHeight="1" x14ac:dyDescent="0.25">
      <c r="A10" s="16" t="s">
        <v>8</v>
      </c>
      <c r="B10" s="10"/>
      <c r="C10" s="10"/>
      <c r="D10" s="10"/>
    </row>
    <row r="11" spans="1:8" ht="21.75" customHeight="1" x14ac:dyDescent="0.25">
      <c r="A11" s="16" t="s">
        <v>9</v>
      </c>
      <c r="B11" s="10"/>
      <c r="C11" s="10"/>
      <c r="D11" s="10"/>
    </row>
    <row r="12" spans="1:8" ht="21.75" customHeight="1" x14ac:dyDescent="0.25">
      <c r="A12" s="16" t="s">
        <v>10</v>
      </c>
      <c r="B12" s="10"/>
      <c r="C12" s="10"/>
      <c r="D12" s="10"/>
    </row>
    <row r="13" spans="1:8" ht="7.5" customHeight="1" x14ac:dyDescent="0.25"/>
    <row r="14" spans="1:8" ht="19.5" customHeight="1" x14ac:dyDescent="0.25">
      <c r="A14" s="12" t="s">
        <v>11</v>
      </c>
      <c r="B14" s="12"/>
      <c r="C14" s="12"/>
      <c r="D14" s="12"/>
      <c r="E14" s="12"/>
      <c r="F14" s="12"/>
      <c r="G14" s="12"/>
      <c r="H14" s="12"/>
    </row>
    <row r="15" spans="1:8" ht="27.75" customHeight="1" x14ac:dyDescent="0.25">
      <c r="A15" s="16" t="s">
        <v>12</v>
      </c>
      <c r="B15" s="9" t="s">
        <v>13</v>
      </c>
      <c r="C15" s="9"/>
      <c r="D15" s="9"/>
      <c r="E15" s="9"/>
    </row>
    <row r="16" spans="1:8" ht="21.75" customHeight="1" x14ac:dyDescent="0.25">
      <c r="A16" s="17" t="s">
        <v>14</v>
      </c>
      <c r="B16" s="8">
        <v>0.16500000000000001</v>
      </c>
      <c r="C16" s="8"/>
      <c r="D16" s="8"/>
    </row>
    <row r="17" spans="1:8" ht="7.5" customHeight="1" x14ac:dyDescent="0.25"/>
    <row r="18" spans="1:8" ht="19.5" customHeight="1" x14ac:dyDescent="0.25">
      <c r="A18" s="7" t="s">
        <v>15</v>
      </c>
      <c r="B18" s="7"/>
      <c r="C18" s="7"/>
      <c r="D18" s="7"/>
      <c r="E18" s="7"/>
      <c r="F18" s="7"/>
      <c r="G18" s="7"/>
      <c r="H18" s="7"/>
    </row>
    <row r="19" spans="1:8" ht="24" customHeight="1" x14ac:dyDescent="0.25">
      <c r="A19" s="18" t="s">
        <v>16</v>
      </c>
      <c r="B19" s="18" t="s">
        <v>17</v>
      </c>
      <c r="C19" s="18"/>
      <c r="D19" s="18"/>
      <c r="E19" s="18"/>
      <c r="F19" s="18" t="s">
        <v>18</v>
      </c>
      <c r="G19" s="18"/>
      <c r="H19" s="18"/>
    </row>
    <row r="20" spans="1:8" ht="24" customHeight="1" x14ac:dyDescent="0.25">
      <c r="A20" s="19" t="s">
        <v>19</v>
      </c>
      <c r="B20" s="6" t="s">
        <v>20</v>
      </c>
      <c r="C20" s="6"/>
      <c r="D20" s="6"/>
      <c r="E20" s="6"/>
      <c r="F20" s="5">
        <f>VAT_Return!C15</f>
        <v>0</v>
      </c>
      <c r="G20" s="5"/>
      <c r="H20" s="5"/>
    </row>
    <row r="21" spans="1:8" ht="24" customHeight="1" x14ac:dyDescent="0.25">
      <c r="A21" s="19" t="s">
        <v>21</v>
      </c>
      <c r="B21" s="4" t="s">
        <v>22</v>
      </c>
      <c r="C21" s="4"/>
      <c r="D21" s="4"/>
      <c r="E21" s="4"/>
      <c r="F21" s="5">
        <f>VAT_Return!C16</f>
        <v>0</v>
      </c>
      <c r="G21" s="5"/>
      <c r="H21" s="5"/>
    </row>
    <row r="22" spans="1:8" ht="24" customHeight="1" x14ac:dyDescent="0.25">
      <c r="A22" s="20" t="s">
        <v>23</v>
      </c>
      <c r="B22" s="3" t="s">
        <v>24</v>
      </c>
      <c r="C22" s="3"/>
      <c r="D22" s="3"/>
      <c r="E22" s="3"/>
      <c r="F22" s="2">
        <f>VAT_Return!C17</f>
        <v>0</v>
      </c>
      <c r="G22" s="2"/>
      <c r="H22" s="2"/>
    </row>
    <row r="23" spans="1:8" ht="24" customHeight="1" x14ac:dyDescent="0.25">
      <c r="A23" s="19" t="s">
        <v>25</v>
      </c>
      <c r="B23" s="4" t="s">
        <v>26</v>
      </c>
      <c r="C23" s="4"/>
      <c r="D23" s="4"/>
      <c r="E23" s="4"/>
      <c r="F23" s="5">
        <f>VAT_Return!C18</f>
        <v>0</v>
      </c>
      <c r="G23" s="5"/>
      <c r="H23" s="5"/>
    </row>
    <row r="24" spans="1:8" ht="24" customHeight="1" x14ac:dyDescent="0.25">
      <c r="A24" s="21" t="s">
        <v>27</v>
      </c>
      <c r="B24" s="1" t="s">
        <v>28</v>
      </c>
      <c r="C24" s="1"/>
      <c r="D24" s="1"/>
      <c r="E24" s="1"/>
      <c r="F24" s="55">
        <f>VAT_Return!C19</f>
        <v>0</v>
      </c>
      <c r="G24" s="55"/>
      <c r="H24" s="55"/>
    </row>
    <row r="25" spans="1:8" ht="24" customHeight="1" x14ac:dyDescent="0.25">
      <c r="A25" s="19" t="s">
        <v>29</v>
      </c>
      <c r="B25" s="4" t="s">
        <v>30</v>
      </c>
      <c r="C25" s="4"/>
      <c r="D25" s="4"/>
      <c r="E25" s="4"/>
      <c r="F25" s="5">
        <f>VAT_Return!C20</f>
        <v>0</v>
      </c>
      <c r="G25" s="5"/>
      <c r="H25" s="5"/>
    </row>
    <row r="26" spans="1:8" ht="24" customHeight="1" x14ac:dyDescent="0.25">
      <c r="A26" s="19" t="s">
        <v>31</v>
      </c>
      <c r="B26" s="6" t="s">
        <v>32</v>
      </c>
      <c r="C26" s="6"/>
      <c r="D26" s="6"/>
      <c r="E26" s="6"/>
      <c r="F26" s="5">
        <f>VAT_Return!C21</f>
        <v>0</v>
      </c>
      <c r="G26" s="5"/>
      <c r="H26" s="5"/>
    </row>
    <row r="27" spans="1:8" ht="24" customHeight="1" x14ac:dyDescent="0.25">
      <c r="A27" s="19" t="s">
        <v>33</v>
      </c>
      <c r="B27" s="4" t="s">
        <v>34</v>
      </c>
      <c r="C27" s="4"/>
      <c r="D27" s="4"/>
      <c r="E27" s="4"/>
      <c r="F27" s="5">
        <f>VAT_Return!C22</f>
        <v>0</v>
      </c>
      <c r="G27" s="5"/>
      <c r="H27" s="5"/>
    </row>
    <row r="28" spans="1:8" ht="24" customHeight="1" x14ac:dyDescent="0.25">
      <c r="A28" s="19" t="s">
        <v>35</v>
      </c>
      <c r="B28" s="6" t="s">
        <v>36</v>
      </c>
      <c r="C28" s="6"/>
      <c r="D28" s="6"/>
      <c r="E28" s="6"/>
      <c r="F28" s="5">
        <f>VAT_Return!C23</f>
        <v>0</v>
      </c>
      <c r="G28" s="5"/>
      <c r="H28" s="5"/>
    </row>
    <row r="29" spans="1:8" ht="7.5" customHeight="1" x14ac:dyDescent="0.25"/>
    <row r="30" spans="1:8" ht="19.5" customHeight="1" x14ac:dyDescent="0.25">
      <c r="A30" s="56" t="s">
        <v>37</v>
      </c>
      <c r="B30" s="56"/>
      <c r="C30" s="56"/>
      <c r="D30" s="56"/>
      <c r="E30" s="56"/>
      <c r="F30" s="56"/>
      <c r="G30" s="56"/>
      <c r="H30" s="56"/>
    </row>
    <row r="31" spans="1:8" ht="19.5" customHeight="1" x14ac:dyDescent="0.25">
      <c r="A31" s="22" t="s">
        <v>38</v>
      </c>
      <c r="B31" s="23" t="s">
        <v>39</v>
      </c>
      <c r="C31" s="24" t="s">
        <v>40</v>
      </c>
      <c r="D31" s="25" t="s">
        <v>41</v>
      </c>
    </row>
    <row r="34" spans="1:8" ht="21.75" customHeight="1" x14ac:dyDescent="0.25">
      <c r="A34" s="57" t="s">
        <v>42</v>
      </c>
      <c r="B34" s="57"/>
      <c r="C34" s="57"/>
      <c r="D34" s="57"/>
      <c r="E34" s="57"/>
      <c r="F34" s="57"/>
      <c r="G34" s="57"/>
      <c r="H34" s="57"/>
    </row>
  </sheetData>
  <mergeCells count="35">
    <mergeCell ref="A30:H30"/>
    <mergeCell ref="A34:H34"/>
    <mergeCell ref="B26:E26"/>
    <mergeCell ref="F26:H26"/>
    <mergeCell ref="B27:E27"/>
    <mergeCell ref="F27:H27"/>
    <mergeCell ref="B28:E28"/>
    <mergeCell ref="F28:H28"/>
    <mergeCell ref="B23:E23"/>
    <mergeCell ref="F23:H23"/>
    <mergeCell ref="B24:E24"/>
    <mergeCell ref="F24:H24"/>
    <mergeCell ref="B25:E25"/>
    <mergeCell ref="F25:H25"/>
    <mergeCell ref="B20:E20"/>
    <mergeCell ref="F20:H20"/>
    <mergeCell ref="B21:E21"/>
    <mergeCell ref="F21:H21"/>
    <mergeCell ref="B22:E22"/>
    <mergeCell ref="F22:H22"/>
    <mergeCell ref="B12:D12"/>
    <mergeCell ref="A14:H14"/>
    <mergeCell ref="B15:E15"/>
    <mergeCell ref="B16:D16"/>
    <mergeCell ref="A18:H18"/>
    <mergeCell ref="B7:F7"/>
    <mergeCell ref="B8:F8"/>
    <mergeCell ref="B9:F9"/>
    <mergeCell ref="B10:D10"/>
    <mergeCell ref="B11:D11"/>
    <mergeCell ref="A1:H1"/>
    <mergeCell ref="A2:H2"/>
    <mergeCell ref="A4:H4"/>
    <mergeCell ref="B5:F5"/>
    <mergeCell ref="B6:F6"/>
  </mergeCells>
  <dataValidations count="1">
    <dataValidation type="list" sqref="B15" xr:uid="{00000000-0002-0000-0000-000000000000}">
      <formula1>"Standard (Invoice Basis),Cash Accounting,Flat Rate Scheme,Annual Accounting,Retail Scheme"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951A"/>
  </sheetPr>
  <dimension ref="A1:E31"/>
  <sheetViews>
    <sheetView showGridLines="0" zoomScale="85" zoomScaleNormal="85" workbookViewId="0">
      <selection activeCell="B17" sqref="B17"/>
    </sheetView>
  </sheetViews>
  <sheetFormatPr defaultColWidth="8.7109375" defaultRowHeight="15" x14ac:dyDescent="0.25"/>
  <cols>
    <col min="1" max="1" width="12.7109375" style="15" bestFit="1" customWidth="1"/>
    <col min="2" max="2" width="44.85546875" style="15" customWidth="1"/>
    <col min="3" max="3" width="20" style="15" customWidth="1"/>
    <col min="4" max="4" width="44.85546875" style="15" customWidth="1"/>
    <col min="5" max="5" width="8" style="15" customWidth="1"/>
  </cols>
  <sheetData>
    <row r="1" spans="1:5" ht="42" customHeight="1" x14ac:dyDescent="0.25">
      <c r="A1" s="58" t="s">
        <v>43</v>
      </c>
      <c r="B1" s="58"/>
      <c r="C1" s="58"/>
      <c r="D1" s="58"/>
      <c r="E1" s="58"/>
    </row>
    <row r="2" spans="1:5" ht="18" customHeight="1" x14ac:dyDescent="0.25">
      <c r="A2" s="59" t="s">
        <v>44</v>
      </c>
      <c r="B2" s="59"/>
      <c r="C2" s="59"/>
      <c r="D2" s="59"/>
      <c r="E2" s="59"/>
    </row>
    <row r="3" spans="1:5" ht="7.5" customHeight="1" x14ac:dyDescent="0.25"/>
    <row r="4" spans="1:5" ht="19.5" customHeight="1" x14ac:dyDescent="0.25">
      <c r="A4" s="12" t="s">
        <v>45</v>
      </c>
      <c r="B4" s="12"/>
      <c r="C4" s="12"/>
      <c r="D4" s="12"/>
      <c r="E4" s="12"/>
    </row>
    <row r="5" spans="1:5" ht="19.5" customHeight="1" x14ac:dyDescent="0.25">
      <c r="A5" s="16" t="s">
        <v>46</v>
      </c>
      <c r="B5" s="60">
        <f>Dashboard!B5</f>
        <v>0</v>
      </c>
      <c r="C5" s="60"/>
      <c r="D5" s="60"/>
      <c r="E5" s="60"/>
    </row>
    <row r="6" spans="1:5" ht="19.5" customHeight="1" x14ac:dyDescent="0.25">
      <c r="A6" s="16" t="s">
        <v>47</v>
      </c>
      <c r="B6" s="60">
        <f>Dashboard!B6</f>
        <v>0</v>
      </c>
      <c r="C6" s="60"/>
      <c r="D6" s="60"/>
      <c r="E6" s="60"/>
    </row>
    <row r="7" spans="1:5" ht="19.5" customHeight="1" x14ac:dyDescent="0.25">
      <c r="A7" s="16" t="s">
        <v>48</v>
      </c>
      <c r="B7" s="60" t="str">
        <f>Dashboard!B15</f>
        <v>Standard (Invoice Basis)</v>
      </c>
      <c r="C7" s="60"/>
      <c r="D7" s="60"/>
      <c r="E7" s="60"/>
    </row>
    <row r="8" spans="1:5" ht="19.5" customHeight="1" x14ac:dyDescent="0.25">
      <c r="A8" s="16" t="s">
        <v>49</v>
      </c>
      <c r="B8" s="61">
        <f>Dashboard!B10</f>
        <v>0</v>
      </c>
      <c r="C8" s="61"/>
      <c r="D8" s="61"/>
      <c r="E8" s="61"/>
    </row>
    <row r="9" spans="1:5" ht="19.5" customHeight="1" x14ac:dyDescent="0.25">
      <c r="A9" s="16" t="s">
        <v>50</v>
      </c>
      <c r="B9" s="61">
        <f>Dashboard!B11</f>
        <v>0</v>
      </c>
      <c r="C9" s="61"/>
      <c r="D9" s="61"/>
      <c r="E9" s="61"/>
    </row>
    <row r="10" spans="1:5" ht="19.5" customHeight="1" x14ac:dyDescent="0.25">
      <c r="A10" s="16" t="s">
        <v>51</v>
      </c>
      <c r="B10" s="61">
        <f>Dashboard!B12</f>
        <v>0</v>
      </c>
      <c r="C10" s="61"/>
      <c r="D10" s="61"/>
      <c r="E10" s="61"/>
    </row>
    <row r="11" spans="1:5" ht="7.5" customHeight="1" x14ac:dyDescent="0.25"/>
    <row r="12" spans="1:5" ht="19.5" customHeight="1" x14ac:dyDescent="0.25">
      <c r="A12" s="62" t="s">
        <v>52</v>
      </c>
      <c r="B12" s="62"/>
      <c r="C12" s="62"/>
      <c r="D12" s="62"/>
      <c r="E12" s="62"/>
    </row>
    <row r="13" spans="1:5" ht="24" customHeight="1" x14ac:dyDescent="0.25">
      <c r="A13" s="18" t="s">
        <v>16</v>
      </c>
      <c r="B13" s="18" t="s">
        <v>17</v>
      </c>
      <c r="C13" s="18" t="s">
        <v>18</v>
      </c>
      <c r="D13" s="18" t="s">
        <v>53</v>
      </c>
      <c r="E13" s="18"/>
    </row>
    <row r="15" spans="1:5" ht="31.5" customHeight="1" x14ac:dyDescent="0.25">
      <c r="A15" s="26" t="s">
        <v>54</v>
      </c>
      <c r="B15" s="27" t="s">
        <v>20</v>
      </c>
      <c r="C15" s="28">
        <f>IF(IFERROR(Dashboard!B15,"")="Flat Rate Scheme",ROUND(IFERROR(Sales!I3,0)*IFERROR(Dashboard!B16,0),2),ROUND(IFERROR(Sales!H3,0),2))</f>
        <v>0</v>
      </c>
      <c r="D15" s="29" t="s">
        <v>55</v>
      </c>
    </row>
    <row r="16" spans="1:5" ht="31.5" customHeight="1" x14ac:dyDescent="0.25">
      <c r="A16" s="26" t="s">
        <v>56</v>
      </c>
      <c r="B16" s="17" t="s">
        <v>22</v>
      </c>
      <c r="C16" s="28">
        <f>ROUND(IFERROR(Expenses!I3,0),2)</f>
        <v>0</v>
      </c>
      <c r="D16" s="29" t="s">
        <v>57</v>
      </c>
    </row>
    <row r="17" spans="1:5" ht="31.5" customHeight="1" x14ac:dyDescent="0.25">
      <c r="A17" s="30" t="s">
        <v>58</v>
      </c>
      <c r="B17" s="31" t="s">
        <v>24</v>
      </c>
      <c r="C17" s="32">
        <f>ROUND(C15+C16,2)</f>
        <v>0</v>
      </c>
      <c r="D17" s="29" t="s">
        <v>59</v>
      </c>
    </row>
    <row r="18" spans="1:5" ht="31.5" customHeight="1" x14ac:dyDescent="0.25">
      <c r="A18" s="26" t="s">
        <v>60</v>
      </c>
      <c r="B18" s="17" t="s">
        <v>26</v>
      </c>
      <c r="C18" s="28">
        <f>ROUND(IFERROR(Expenses!H3,0),2)</f>
        <v>0</v>
      </c>
      <c r="D18" s="29" t="s">
        <v>61</v>
      </c>
    </row>
    <row r="19" spans="1:5" ht="31.5" customHeight="1" x14ac:dyDescent="0.25">
      <c r="A19" s="33" t="s">
        <v>62</v>
      </c>
      <c r="B19" s="34" t="s">
        <v>63</v>
      </c>
      <c r="C19" s="35">
        <f>ROUND(C17-C18,2)</f>
        <v>0</v>
      </c>
      <c r="D19" s="36" t="str">
        <f>IF(ROUND(C17,2)=ROUND(C15+C16,2),"✓ PASS","✗ ERROR: Check Boxes 1 &amp; 2")</f>
        <v>✓ PASS</v>
      </c>
    </row>
    <row r="20" spans="1:5" ht="31.5" customHeight="1" x14ac:dyDescent="0.25">
      <c r="A20" s="26" t="s">
        <v>64</v>
      </c>
      <c r="B20" s="17" t="s">
        <v>65</v>
      </c>
      <c r="C20" s="28">
        <f>ROUND(IFERROR(Sales!F3,0),2)</f>
        <v>0</v>
      </c>
      <c r="D20" s="36" t="str">
        <f>IF(ROUND(C19,2)=ROUND(C17-C18,2),"✓ PASS","✗ ERROR: Check Boxes 3 &amp; 4")</f>
        <v>✓ PASS</v>
      </c>
    </row>
    <row r="21" spans="1:5" ht="31.5" customHeight="1" x14ac:dyDescent="0.25">
      <c r="A21" s="26" t="s">
        <v>66</v>
      </c>
      <c r="B21" s="27" t="s">
        <v>67</v>
      </c>
      <c r="C21" s="28">
        <f>ROUND(IFERROR(Expenses!F3,0),2)</f>
        <v>0</v>
      </c>
      <c r="D21" s="29" t="s">
        <v>68</v>
      </c>
    </row>
    <row r="22" spans="1:5" ht="31.5" customHeight="1" x14ac:dyDescent="0.25">
      <c r="A22" s="26" t="s">
        <v>69</v>
      </c>
      <c r="B22" s="17" t="s">
        <v>70</v>
      </c>
      <c r="C22" s="28">
        <f>ROUND(IFERROR(Sales!J3,0),2)</f>
        <v>0</v>
      </c>
      <c r="D22" s="29" t="s">
        <v>71</v>
      </c>
    </row>
    <row r="23" spans="1:5" ht="31.5" customHeight="1" x14ac:dyDescent="0.25">
      <c r="A23" s="26" t="s">
        <v>72</v>
      </c>
      <c r="B23" s="27" t="s">
        <v>73</v>
      </c>
      <c r="C23" s="28">
        <f>ROUND(IFERROR(Expenses!I3,0),2)</f>
        <v>0</v>
      </c>
      <c r="D23" s="29" t="s">
        <v>74</v>
      </c>
    </row>
    <row r="25" spans="1:5" ht="19.5" customHeight="1" x14ac:dyDescent="0.25">
      <c r="A25" s="56" t="s">
        <v>75</v>
      </c>
      <c r="B25" s="56"/>
      <c r="C25" s="56"/>
      <c r="D25" s="56"/>
      <c r="E25" s="56"/>
    </row>
    <row r="26" spans="1:5" ht="19.5" customHeight="1" x14ac:dyDescent="0.25">
      <c r="A26" s="6" t="s">
        <v>76</v>
      </c>
      <c r="B26" s="6"/>
      <c r="C26" s="6"/>
      <c r="D26" s="63" t="str">
        <f>IF(ROUND(C17,2)=ROUND(C15+C16,2),"✓ PASS","✗ ERROR: Check Boxes 1 &amp; 2")</f>
        <v>✓ PASS</v>
      </c>
      <c r="E26" s="63"/>
    </row>
    <row r="27" spans="1:5" ht="19.5" customHeight="1" x14ac:dyDescent="0.25">
      <c r="A27" s="6" t="s">
        <v>77</v>
      </c>
      <c r="B27" s="6"/>
      <c r="C27" s="6"/>
      <c r="D27" s="63" t="str">
        <f>IF(ROUND(C19,2)=ROUND(C17-C18,2),"✓ PASS","✗ ERROR: Check Boxes 3 &amp; 4")</f>
        <v>✓ PASS</v>
      </c>
      <c r="E27" s="63"/>
    </row>
    <row r="28" spans="1:5" ht="19.5" customHeight="1" x14ac:dyDescent="0.25">
      <c r="A28" s="6" t="s">
        <v>78</v>
      </c>
      <c r="B28" s="6"/>
      <c r="C28" s="6"/>
      <c r="D28" s="63" t="str">
        <f>IF(AND(C15&gt;=0,C16&gt;=0,C17&gt;=0,C18&gt;=0,C20&gt;=0,C21&gt;=0),"✓ PASS","⚠ CHECK: Negative value")</f>
        <v>✓ PASS</v>
      </c>
      <c r="E28" s="63"/>
    </row>
    <row r="31" spans="1:5" ht="21.75" customHeight="1" x14ac:dyDescent="0.25">
      <c r="A31" s="57" t="s">
        <v>42</v>
      </c>
      <c r="B31" s="57"/>
      <c r="C31" s="57"/>
      <c r="D31" s="57"/>
      <c r="E31" s="57"/>
    </row>
  </sheetData>
  <mergeCells count="18">
    <mergeCell ref="A28:C28"/>
    <mergeCell ref="D28:E28"/>
    <mergeCell ref="A31:E31"/>
    <mergeCell ref="A25:E25"/>
    <mergeCell ref="A26:C26"/>
    <mergeCell ref="D26:E26"/>
    <mergeCell ref="A27:C27"/>
    <mergeCell ref="D27:E27"/>
    <mergeCell ref="B7:E7"/>
    <mergeCell ref="B8:E8"/>
    <mergeCell ref="B9:E9"/>
    <mergeCell ref="B10:E10"/>
    <mergeCell ref="A12:E12"/>
    <mergeCell ref="A1:E1"/>
    <mergeCell ref="A2:E2"/>
    <mergeCell ref="A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K205"/>
  <sheetViews>
    <sheetView showGridLines="0" zoomScale="85" zoomScaleNormal="85" workbookViewId="0">
      <selection sqref="A1:K1"/>
    </sheetView>
  </sheetViews>
  <sheetFormatPr defaultColWidth="8.7109375" defaultRowHeight="15" x14ac:dyDescent="0.25"/>
  <cols>
    <col min="1" max="1" width="3" style="15" customWidth="1"/>
    <col min="2" max="2" width="14" style="15" customWidth="1"/>
    <col min="3" max="3" width="26" style="15" customWidth="1"/>
    <col min="4" max="4" width="11" style="15" customWidth="1"/>
    <col min="5" max="6" width="16" style="15" customWidth="1"/>
    <col min="7" max="7" width="9" style="15" customWidth="1"/>
    <col min="8" max="9" width="16" style="15" customWidth="1"/>
    <col min="10" max="10" width="14" style="15" customWidth="1"/>
    <col min="11" max="11" width="16" style="15" customWidth="1"/>
  </cols>
  <sheetData>
    <row r="1" spans="1:11" ht="37.5" customHeight="1" x14ac:dyDescent="0.25">
      <c r="A1" s="64" t="s">
        <v>79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8" customHeight="1" x14ac:dyDescent="0.25">
      <c r="A2" s="59" t="s">
        <v>80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24" customHeight="1" x14ac:dyDescent="0.25">
      <c r="A3" s="19" t="s">
        <v>81</v>
      </c>
      <c r="B3" s="19"/>
      <c r="C3" s="19"/>
      <c r="D3" s="37"/>
      <c r="E3" s="38">
        <f>SUM(E4:E203)</f>
        <v>0</v>
      </c>
      <c r="F3" s="38">
        <f>SUM(F4:F203)</f>
        <v>0</v>
      </c>
      <c r="G3" s="19"/>
      <c r="H3" s="38">
        <f>SUM(H4:H203)</f>
        <v>0</v>
      </c>
      <c r="I3" s="38">
        <f>SUM(I4:I203)</f>
        <v>0</v>
      </c>
      <c r="J3" s="38">
        <f>SUM(J4:J203)</f>
        <v>0</v>
      </c>
      <c r="K3" s="19"/>
    </row>
    <row r="4" spans="1:11" ht="16.5" customHeight="1" x14ac:dyDescent="0.25">
      <c r="A4" s="39">
        <v>1</v>
      </c>
      <c r="B4" s="40" t="s">
        <v>82</v>
      </c>
      <c r="C4" s="41" t="s">
        <v>83</v>
      </c>
      <c r="D4" s="42" t="s">
        <v>84</v>
      </c>
      <c r="E4" s="43" t="s">
        <v>85</v>
      </c>
      <c r="F4" s="44">
        <f t="shared" ref="F4:F35" si="0">IF(ISNUMBER(E4),E4,0)</f>
        <v>0</v>
      </c>
      <c r="G4" s="45" t="s">
        <v>86</v>
      </c>
      <c r="H4" s="46">
        <f t="shared" ref="H4:H35" si="1">IF(ISNUMBER(E4),ROUND(E4*IF(G4="20%",0.2,IF(G4="5%",0.05,0)),2),0)</f>
        <v>0</v>
      </c>
      <c r="I4" s="46">
        <f t="shared" ref="I4:I35" si="2">IF(ISNUMBER(E4),E4+H4,0)</f>
        <v>0</v>
      </c>
      <c r="J4" s="43" t="s">
        <v>87</v>
      </c>
      <c r="K4" s="41" t="s">
        <v>88</v>
      </c>
    </row>
    <row r="5" spans="1:11" ht="16.5" customHeight="1" x14ac:dyDescent="0.25">
      <c r="A5" s="39">
        <v>2</v>
      </c>
      <c r="B5" s="40"/>
      <c r="C5" s="41"/>
      <c r="D5" s="42"/>
      <c r="E5" s="43"/>
      <c r="F5" s="47">
        <f t="shared" si="0"/>
        <v>0</v>
      </c>
      <c r="G5" s="45" t="s">
        <v>86</v>
      </c>
      <c r="H5" s="46">
        <f t="shared" si="1"/>
        <v>0</v>
      </c>
      <c r="I5" s="46">
        <f t="shared" si="2"/>
        <v>0</v>
      </c>
      <c r="J5" s="43"/>
      <c r="K5" s="41"/>
    </row>
    <row r="6" spans="1:11" ht="16.5" customHeight="1" x14ac:dyDescent="0.25">
      <c r="A6" s="39">
        <v>3</v>
      </c>
      <c r="B6" s="40"/>
      <c r="C6" s="41"/>
      <c r="D6" s="42"/>
      <c r="E6" s="43"/>
      <c r="F6" s="44">
        <f t="shared" si="0"/>
        <v>0</v>
      </c>
      <c r="G6" s="45" t="s">
        <v>86</v>
      </c>
      <c r="H6" s="46">
        <f t="shared" si="1"/>
        <v>0</v>
      </c>
      <c r="I6" s="46">
        <f t="shared" si="2"/>
        <v>0</v>
      </c>
      <c r="J6" s="43"/>
      <c r="K6" s="41"/>
    </row>
    <row r="7" spans="1:11" ht="16.5" customHeight="1" x14ac:dyDescent="0.25">
      <c r="A7" s="39">
        <v>4</v>
      </c>
      <c r="B7" s="40"/>
      <c r="C7" s="41"/>
      <c r="D7" s="42"/>
      <c r="E7" s="43"/>
      <c r="F7" s="47">
        <f t="shared" si="0"/>
        <v>0</v>
      </c>
      <c r="G7" s="45" t="s">
        <v>86</v>
      </c>
      <c r="H7" s="46">
        <f t="shared" si="1"/>
        <v>0</v>
      </c>
      <c r="I7" s="46">
        <f t="shared" si="2"/>
        <v>0</v>
      </c>
      <c r="J7" s="43"/>
      <c r="K7" s="41"/>
    </row>
    <row r="8" spans="1:11" ht="16.5" customHeight="1" x14ac:dyDescent="0.25">
      <c r="A8" s="39">
        <v>5</v>
      </c>
      <c r="B8" s="40"/>
      <c r="C8" s="41"/>
      <c r="D8" s="42"/>
      <c r="E8" s="43"/>
      <c r="F8" s="44">
        <f t="shared" si="0"/>
        <v>0</v>
      </c>
      <c r="G8" s="45" t="s">
        <v>86</v>
      </c>
      <c r="H8" s="46">
        <f t="shared" si="1"/>
        <v>0</v>
      </c>
      <c r="I8" s="46">
        <f t="shared" si="2"/>
        <v>0</v>
      </c>
      <c r="J8" s="43"/>
      <c r="K8" s="41"/>
    </row>
    <row r="9" spans="1:11" ht="16.5" customHeight="1" x14ac:dyDescent="0.25">
      <c r="A9" s="39">
        <v>6</v>
      </c>
      <c r="B9" s="40"/>
      <c r="C9" s="41"/>
      <c r="D9" s="42"/>
      <c r="E9" s="43"/>
      <c r="F9" s="47">
        <f t="shared" si="0"/>
        <v>0</v>
      </c>
      <c r="G9" s="45" t="s">
        <v>86</v>
      </c>
      <c r="H9" s="46">
        <f t="shared" si="1"/>
        <v>0</v>
      </c>
      <c r="I9" s="46">
        <f t="shared" si="2"/>
        <v>0</v>
      </c>
      <c r="J9" s="43"/>
      <c r="K9" s="41"/>
    </row>
    <row r="10" spans="1:11" ht="16.5" customHeight="1" x14ac:dyDescent="0.25">
      <c r="A10" s="39">
        <v>7</v>
      </c>
      <c r="B10" s="40"/>
      <c r="C10" s="41"/>
      <c r="D10" s="42"/>
      <c r="E10" s="43"/>
      <c r="F10" s="44">
        <f t="shared" si="0"/>
        <v>0</v>
      </c>
      <c r="G10" s="45" t="s">
        <v>86</v>
      </c>
      <c r="H10" s="46">
        <f t="shared" si="1"/>
        <v>0</v>
      </c>
      <c r="I10" s="46">
        <f t="shared" si="2"/>
        <v>0</v>
      </c>
      <c r="J10" s="43"/>
      <c r="K10" s="41"/>
    </row>
    <row r="11" spans="1:11" ht="16.5" customHeight="1" x14ac:dyDescent="0.25">
      <c r="A11" s="39">
        <v>8</v>
      </c>
      <c r="B11" s="40"/>
      <c r="C11" s="41"/>
      <c r="D11" s="42"/>
      <c r="E11" s="43"/>
      <c r="F11" s="47">
        <f t="shared" si="0"/>
        <v>0</v>
      </c>
      <c r="G11" s="45" t="s">
        <v>86</v>
      </c>
      <c r="H11" s="46">
        <f t="shared" si="1"/>
        <v>0</v>
      </c>
      <c r="I11" s="46">
        <f t="shared" si="2"/>
        <v>0</v>
      </c>
      <c r="J11" s="43"/>
      <c r="K11" s="41"/>
    </row>
    <row r="12" spans="1:11" ht="16.5" customHeight="1" x14ac:dyDescent="0.25">
      <c r="A12" s="39">
        <v>9</v>
      </c>
      <c r="B12" s="40"/>
      <c r="C12" s="41"/>
      <c r="D12" s="42"/>
      <c r="E12" s="43"/>
      <c r="F12" s="44">
        <f t="shared" si="0"/>
        <v>0</v>
      </c>
      <c r="G12" s="45" t="s">
        <v>86</v>
      </c>
      <c r="H12" s="46">
        <f t="shared" si="1"/>
        <v>0</v>
      </c>
      <c r="I12" s="46">
        <f t="shared" si="2"/>
        <v>0</v>
      </c>
      <c r="J12" s="43"/>
      <c r="K12" s="41"/>
    </row>
    <row r="13" spans="1:11" ht="16.5" customHeight="1" x14ac:dyDescent="0.25">
      <c r="A13" s="39">
        <v>10</v>
      </c>
      <c r="B13" s="40"/>
      <c r="C13" s="41"/>
      <c r="D13" s="42"/>
      <c r="E13" s="43"/>
      <c r="F13" s="47">
        <f t="shared" si="0"/>
        <v>0</v>
      </c>
      <c r="G13" s="45" t="s">
        <v>86</v>
      </c>
      <c r="H13" s="46">
        <f t="shared" si="1"/>
        <v>0</v>
      </c>
      <c r="I13" s="46">
        <f t="shared" si="2"/>
        <v>0</v>
      </c>
      <c r="J13" s="43"/>
      <c r="K13" s="41"/>
    </row>
    <row r="14" spans="1:11" ht="16.5" customHeight="1" x14ac:dyDescent="0.25">
      <c r="A14" s="39">
        <v>11</v>
      </c>
      <c r="B14" s="40"/>
      <c r="C14" s="41"/>
      <c r="D14" s="42"/>
      <c r="E14" s="43"/>
      <c r="F14" s="44">
        <f t="shared" si="0"/>
        <v>0</v>
      </c>
      <c r="G14" s="45" t="s">
        <v>86</v>
      </c>
      <c r="H14" s="46">
        <f t="shared" si="1"/>
        <v>0</v>
      </c>
      <c r="I14" s="46">
        <f t="shared" si="2"/>
        <v>0</v>
      </c>
      <c r="J14" s="43"/>
      <c r="K14" s="41"/>
    </row>
    <row r="15" spans="1:11" ht="16.5" customHeight="1" x14ac:dyDescent="0.25">
      <c r="A15" s="39">
        <v>12</v>
      </c>
      <c r="B15" s="40"/>
      <c r="C15" s="41"/>
      <c r="D15" s="42"/>
      <c r="E15" s="43"/>
      <c r="F15" s="47">
        <f t="shared" si="0"/>
        <v>0</v>
      </c>
      <c r="G15" s="45" t="s">
        <v>86</v>
      </c>
      <c r="H15" s="46">
        <f t="shared" si="1"/>
        <v>0</v>
      </c>
      <c r="I15" s="46">
        <f t="shared" si="2"/>
        <v>0</v>
      </c>
      <c r="J15" s="43"/>
      <c r="K15" s="41"/>
    </row>
    <row r="16" spans="1:11" ht="16.5" customHeight="1" x14ac:dyDescent="0.25">
      <c r="A16" s="39">
        <v>13</v>
      </c>
      <c r="B16" s="40"/>
      <c r="C16" s="41"/>
      <c r="D16" s="42"/>
      <c r="E16" s="43"/>
      <c r="F16" s="44">
        <f t="shared" si="0"/>
        <v>0</v>
      </c>
      <c r="G16" s="45" t="s">
        <v>86</v>
      </c>
      <c r="H16" s="46">
        <f t="shared" si="1"/>
        <v>0</v>
      </c>
      <c r="I16" s="46">
        <f t="shared" si="2"/>
        <v>0</v>
      </c>
      <c r="J16" s="43"/>
      <c r="K16" s="41"/>
    </row>
    <row r="17" spans="1:11" ht="16.5" customHeight="1" x14ac:dyDescent="0.25">
      <c r="A17" s="39">
        <v>14</v>
      </c>
      <c r="B17" s="40"/>
      <c r="C17" s="41"/>
      <c r="D17" s="42"/>
      <c r="E17" s="43"/>
      <c r="F17" s="47">
        <f t="shared" si="0"/>
        <v>0</v>
      </c>
      <c r="G17" s="45" t="s">
        <v>86</v>
      </c>
      <c r="H17" s="46">
        <f t="shared" si="1"/>
        <v>0</v>
      </c>
      <c r="I17" s="46">
        <f t="shared" si="2"/>
        <v>0</v>
      </c>
      <c r="J17" s="43"/>
      <c r="K17" s="41"/>
    </row>
    <row r="18" spans="1:11" ht="16.5" customHeight="1" x14ac:dyDescent="0.25">
      <c r="A18" s="39">
        <v>15</v>
      </c>
      <c r="B18" s="40"/>
      <c r="C18" s="41"/>
      <c r="D18" s="42"/>
      <c r="E18" s="43"/>
      <c r="F18" s="44">
        <f t="shared" si="0"/>
        <v>0</v>
      </c>
      <c r="G18" s="45" t="s">
        <v>86</v>
      </c>
      <c r="H18" s="46">
        <f t="shared" si="1"/>
        <v>0</v>
      </c>
      <c r="I18" s="46">
        <f t="shared" si="2"/>
        <v>0</v>
      </c>
      <c r="J18" s="43"/>
      <c r="K18" s="41"/>
    </row>
    <row r="19" spans="1:11" ht="16.5" customHeight="1" x14ac:dyDescent="0.25">
      <c r="A19" s="39">
        <v>16</v>
      </c>
      <c r="B19" s="40"/>
      <c r="C19" s="41"/>
      <c r="D19" s="42"/>
      <c r="E19" s="43"/>
      <c r="F19" s="47">
        <f t="shared" si="0"/>
        <v>0</v>
      </c>
      <c r="G19" s="45" t="s">
        <v>86</v>
      </c>
      <c r="H19" s="46">
        <f t="shared" si="1"/>
        <v>0</v>
      </c>
      <c r="I19" s="46">
        <f t="shared" si="2"/>
        <v>0</v>
      </c>
      <c r="J19" s="43"/>
      <c r="K19" s="41"/>
    </row>
    <row r="20" spans="1:11" ht="16.5" customHeight="1" x14ac:dyDescent="0.25">
      <c r="A20" s="39">
        <v>17</v>
      </c>
      <c r="B20" s="40"/>
      <c r="C20" s="41"/>
      <c r="D20" s="42"/>
      <c r="E20" s="43"/>
      <c r="F20" s="44">
        <f t="shared" si="0"/>
        <v>0</v>
      </c>
      <c r="G20" s="45" t="s">
        <v>86</v>
      </c>
      <c r="H20" s="46">
        <f t="shared" si="1"/>
        <v>0</v>
      </c>
      <c r="I20" s="46">
        <f t="shared" si="2"/>
        <v>0</v>
      </c>
      <c r="J20" s="43"/>
      <c r="K20" s="41"/>
    </row>
    <row r="21" spans="1:11" ht="16.5" customHeight="1" x14ac:dyDescent="0.25">
      <c r="A21" s="39">
        <v>18</v>
      </c>
      <c r="B21" s="40"/>
      <c r="C21" s="41"/>
      <c r="D21" s="42"/>
      <c r="E21" s="43"/>
      <c r="F21" s="47">
        <f t="shared" si="0"/>
        <v>0</v>
      </c>
      <c r="G21" s="45" t="s">
        <v>86</v>
      </c>
      <c r="H21" s="46">
        <f t="shared" si="1"/>
        <v>0</v>
      </c>
      <c r="I21" s="46">
        <f t="shared" si="2"/>
        <v>0</v>
      </c>
      <c r="J21" s="43"/>
      <c r="K21" s="41"/>
    </row>
    <row r="22" spans="1:11" ht="16.5" customHeight="1" x14ac:dyDescent="0.25">
      <c r="A22" s="39">
        <v>19</v>
      </c>
      <c r="B22" s="40"/>
      <c r="C22" s="41"/>
      <c r="D22" s="42"/>
      <c r="E22" s="43"/>
      <c r="F22" s="44">
        <f t="shared" si="0"/>
        <v>0</v>
      </c>
      <c r="G22" s="45" t="s">
        <v>86</v>
      </c>
      <c r="H22" s="46">
        <f t="shared" si="1"/>
        <v>0</v>
      </c>
      <c r="I22" s="46">
        <f t="shared" si="2"/>
        <v>0</v>
      </c>
      <c r="J22" s="43"/>
      <c r="K22" s="41"/>
    </row>
    <row r="23" spans="1:11" ht="16.5" customHeight="1" x14ac:dyDescent="0.25">
      <c r="A23" s="39">
        <v>20</v>
      </c>
      <c r="B23" s="40"/>
      <c r="C23" s="41"/>
      <c r="D23" s="42"/>
      <c r="E23" s="43"/>
      <c r="F23" s="47">
        <f t="shared" si="0"/>
        <v>0</v>
      </c>
      <c r="G23" s="45" t="s">
        <v>86</v>
      </c>
      <c r="H23" s="46">
        <f t="shared" si="1"/>
        <v>0</v>
      </c>
      <c r="I23" s="46">
        <f t="shared" si="2"/>
        <v>0</v>
      </c>
      <c r="J23" s="43"/>
      <c r="K23" s="41"/>
    </row>
    <row r="24" spans="1:11" ht="16.5" customHeight="1" x14ac:dyDescent="0.25">
      <c r="A24" s="39">
        <v>21</v>
      </c>
      <c r="B24" s="40"/>
      <c r="C24" s="41"/>
      <c r="D24" s="42"/>
      <c r="E24" s="43"/>
      <c r="F24" s="44">
        <f t="shared" si="0"/>
        <v>0</v>
      </c>
      <c r="G24" s="45" t="s">
        <v>86</v>
      </c>
      <c r="H24" s="46">
        <f t="shared" si="1"/>
        <v>0</v>
      </c>
      <c r="I24" s="46">
        <f t="shared" si="2"/>
        <v>0</v>
      </c>
      <c r="J24" s="43"/>
      <c r="K24" s="41"/>
    </row>
    <row r="25" spans="1:11" ht="16.5" customHeight="1" x14ac:dyDescent="0.25">
      <c r="A25" s="39">
        <v>22</v>
      </c>
      <c r="B25" s="40"/>
      <c r="C25" s="41"/>
      <c r="D25" s="42"/>
      <c r="E25" s="43"/>
      <c r="F25" s="47">
        <f t="shared" si="0"/>
        <v>0</v>
      </c>
      <c r="G25" s="45" t="s">
        <v>86</v>
      </c>
      <c r="H25" s="46">
        <f t="shared" si="1"/>
        <v>0</v>
      </c>
      <c r="I25" s="46">
        <f t="shared" si="2"/>
        <v>0</v>
      </c>
      <c r="J25" s="43"/>
      <c r="K25" s="41"/>
    </row>
    <row r="26" spans="1:11" ht="16.5" customHeight="1" x14ac:dyDescent="0.25">
      <c r="A26" s="39">
        <v>23</v>
      </c>
      <c r="B26" s="40"/>
      <c r="C26" s="41"/>
      <c r="D26" s="42"/>
      <c r="E26" s="43"/>
      <c r="F26" s="44">
        <f t="shared" si="0"/>
        <v>0</v>
      </c>
      <c r="G26" s="45" t="s">
        <v>86</v>
      </c>
      <c r="H26" s="46">
        <f t="shared" si="1"/>
        <v>0</v>
      </c>
      <c r="I26" s="46">
        <f t="shared" si="2"/>
        <v>0</v>
      </c>
      <c r="J26" s="43"/>
      <c r="K26" s="41"/>
    </row>
    <row r="27" spans="1:11" ht="16.5" customHeight="1" x14ac:dyDescent="0.25">
      <c r="A27" s="39">
        <v>24</v>
      </c>
      <c r="B27" s="40"/>
      <c r="C27" s="41"/>
      <c r="D27" s="42"/>
      <c r="E27" s="43"/>
      <c r="F27" s="47">
        <f t="shared" si="0"/>
        <v>0</v>
      </c>
      <c r="G27" s="45" t="s">
        <v>86</v>
      </c>
      <c r="H27" s="46">
        <f t="shared" si="1"/>
        <v>0</v>
      </c>
      <c r="I27" s="46">
        <f t="shared" si="2"/>
        <v>0</v>
      </c>
      <c r="J27" s="43"/>
      <c r="K27" s="41"/>
    </row>
    <row r="28" spans="1:11" ht="16.5" customHeight="1" x14ac:dyDescent="0.25">
      <c r="A28" s="39">
        <v>25</v>
      </c>
      <c r="B28" s="40"/>
      <c r="C28" s="41"/>
      <c r="D28" s="42"/>
      <c r="E28" s="43"/>
      <c r="F28" s="44">
        <f t="shared" si="0"/>
        <v>0</v>
      </c>
      <c r="G28" s="45" t="s">
        <v>86</v>
      </c>
      <c r="H28" s="46">
        <f t="shared" si="1"/>
        <v>0</v>
      </c>
      <c r="I28" s="46">
        <f t="shared" si="2"/>
        <v>0</v>
      </c>
      <c r="J28" s="43"/>
      <c r="K28" s="41"/>
    </row>
    <row r="29" spans="1:11" ht="16.5" customHeight="1" x14ac:dyDescent="0.25">
      <c r="A29" s="39">
        <v>26</v>
      </c>
      <c r="B29" s="40"/>
      <c r="C29" s="41"/>
      <c r="D29" s="42"/>
      <c r="E29" s="43"/>
      <c r="F29" s="47">
        <f t="shared" si="0"/>
        <v>0</v>
      </c>
      <c r="G29" s="45" t="s">
        <v>86</v>
      </c>
      <c r="H29" s="46">
        <f t="shared" si="1"/>
        <v>0</v>
      </c>
      <c r="I29" s="46">
        <f t="shared" si="2"/>
        <v>0</v>
      </c>
      <c r="J29" s="43"/>
      <c r="K29" s="41"/>
    </row>
    <row r="30" spans="1:11" ht="16.5" customHeight="1" x14ac:dyDescent="0.25">
      <c r="A30" s="39">
        <v>27</v>
      </c>
      <c r="B30" s="40"/>
      <c r="C30" s="41"/>
      <c r="D30" s="42"/>
      <c r="E30" s="43"/>
      <c r="F30" s="44">
        <f t="shared" si="0"/>
        <v>0</v>
      </c>
      <c r="G30" s="45" t="s">
        <v>86</v>
      </c>
      <c r="H30" s="46">
        <f t="shared" si="1"/>
        <v>0</v>
      </c>
      <c r="I30" s="46">
        <f t="shared" si="2"/>
        <v>0</v>
      </c>
      <c r="J30" s="43"/>
      <c r="K30" s="41"/>
    </row>
    <row r="31" spans="1:11" ht="16.5" customHeight="1" x14ac:dyDescent="0.25">
      <c r="A31" s="39">
        <v>28</v>
      </c>
      <c r="B31" s="40"/>
      <c r="C31" s="41"/>
      <c r="D31" s="42"/>
      <c r="E31" s="43"/>
      <c r="F31" s="47">
        <f t="shared" si="0"/>
        <v>0</v>
      </c>
      <c r="G31" s="45" t="s">
        <v>86</v>
      </c>
      <c r="H31" s="46">
        <f t="shared" si="1"/>
        <v>0</v>
      </c>
      <c r="I31" s="46">
        <f t="shared" si="2"/>
        <v>0</v>
      </c>
      <c r="J31" s="43"/>
      <c r="K31" s="41"/>
    </row>
    <row r="32" spans="1:11" ht="16.5" customHeight="1" x14ac:dyDescent="0.25">
      <c r="A32" s="39">
        <v>29</v>
      </c>
      <c r="B32" s="40"/>
      <c r="C32" s="41"/>
      <c r="D32" s="42"/>
      <c r="E32" s="43"/>
      <c r="F32" s="44">
        <f t="shared" si="0"/>
        <v>0</v>
      </c>
      <c r="G32" s="45" t="s">
        <v>86</v>
      </c>
      <c r="H32" s="46">
        <f t="shared" si="1"/>
        <v>0</v>
      </c>
      <c r="I32" s="46">
        <f t="shared" si="2"/>
        <v>0</v>
      </c>
      <c r="J32" s="43"/>
      <c r="K32" s="41"/>
    </row>
    <row r="33" spans="1:11" ht="16.5" customHeight="1" x14ac:dyDescent="0.25">
      <c r="A33" s="39">
        <v>30</v>
      </c>
      <c r="B33" s="40"/>
      <c r="C33" s="41"/>
      <c r="D33" s="42"/>
      <c r="E33" s="43"/>
      <c r="F33" s="47">
        <f t="shared" si="0"/>
        <v>0</v>
      </c>
      <c r="G33" s="45" t="s">
        <v>86</v>
      </c>
      <c r="H33" s="46">
        <f t="shared" si="1"/>
        <v>0</v>
      </c>
      <c r="I33" s="46">
        <f t="shared" si="2"/>
        <v>0</v>
      </c>
      <c r="J33" s="43"/>
      <c r="K33" s="41"/>
    </row>
    <row r="34" spans="1:11" ht="16.5" customHeight="1" x14ac:dyDescent="0.25">
      <c r="A34" s="39">
        <v>31</v>
      </c>
      <c r="B34" s="40"/>
      <c r="C34" s="41"/>
      <c r="D34" s="42"/>
      <c r="E34" s="43"/>
      <c r="F34" s="44">
        <f t="shared" si="0"/>
        <v>0</v>
      </c>
      <c r="G34" s="45" t="s">
        <v>86</v>
      </c>
      <c r="H34" s="46">
        <f t="shared" si="1"/>
        <v>0</v>
      </c>
      <c r="I34" s="46">
        <f t="shared" si="2"/>
        <v>0</v>
      </c>
      <c r="J34" s="43"/>
      <c r="K34" s="41"/>
    </row>
    <row r="35" spans="1:11" ht="16.5" customHeight="1" x14ac:dyDescent="0.25">
      <c r="A35" s="39">
        <v>32</v>
      </c>
      <c r="B35" s="40"/>
      <c r="C35" s="41"/>
      <c r="D35" s="42"/>
      <c r="E35" s="43"/>
      <c r="F35" s="47">
        <f t="shared" si="0"/>
        <v>0</v>
      </c>
      <c r="G35" s="45" t="s">
        <v>86</v>
      </c>
      <c r="H35" s="46">
        <f t="shared" si="1"/>
        <v>0</v>
      </c>
      <c r="I35" s="46">
        <f t="shared" si="2"/>
        <v>0</v>
      </c>
      <c r="J35" s="43"/>
      <c r="K35" s="41"/>
    </row>
    <row r="36" spans="1:11" ht="16.5" customHeight="1" x14ac:dyDescent="0.25">
      <c r="A36" s="39">
        <v>33</v>
      </c>
      <c r="B36" s="40"/>
      <c r="C36" s="41"/>
      <c r="D36" s="42"/>
      <c r="E36" s="43"/>
      <c r="F36" s="44">
        <f t="shared" ref="F36:F67" si="3">IF(ISNUMBER(E36),E36,0)</f>
        <v>0</v>
      </c>
      <c r="G36" s="45" t="s">
        <v>86</v>
      </c>
      <c r="H36" s="46">
        <f t="shared" ref="H36:H67" si="4">IF(ISNUMBER(E36),ROUND(E36*IF(G36="20%",0.2,IF(G36="5%",0.05,0)),2),0)</f>
        <v>0</v>
      </c>
      <c r="I36" s="46">
        <f t="shared" ref="I36:I67" si="5">IF(ISNUMBER(E36),E36+H36,0)</f>
        <v>0</v>
      </c>
      <c r="J36" s="43"/>
      <c r="K36" s="41"/>
    </row>
    <row r="37" spans="1:11" ht="16.5" customHeight="1" x14ac:dyDescent="0.25">
      <c r="A37" s="39">
        <v>34</v>
      </c>
      <c r="B37" s="40"/>
      <c r="C37" s="41"/>
      <c r="D37" s="42"/>
      <c r="E37" s="43"/>
      <c r="F37" s="47">
        <f t="shared" si="3"/>
        <v>0</v>
      </c>
      <c r="G37" s="45" t="s">
        <v>86</v>
      </c>
      <c r="H37" s="46">
        <f t="shared" si="4"/>
        <v>0</v>
      </c>
      <c r="I37" s="46">
        <f t="shared" si="5"/>
        <v>0</v>
      </c>
      <c r="J37" s="43"/>
      <c r="K37" s="41"/>
    </row>
    <row r="38" spans="1:11" ht="16.5" customHeight="1" x14ac:dyDescent="0.25">
      <c r="A38" s="39">
        <v>35</v>
      </c>
      <c r="B38" s="40"/>
      <c r="C38" s="41"/>
      <c r="D38" s="42"/>
      <c r="E38" s="43"/>
      <c r="F38" s="44">
        <f t="shared" si="3"/>
        <v>0</v>
      </c>
      <c r="G38" s="45" t="s">
        <v>86</v>
      </c>
      <c r="H38" s="46">
        <f t="shared" si="4"/>
        <v>0</v>
      </c>
      <c r="I38" s="46">
        <f t="shared" si="5"/>
        <v>0</v>
      </c>
      <c r="J38" s="43"/>
      <c r="K38" s="41"/>
    </row>
    <row r="39" spans="1:11" ht="16.5" customHeight="1" x14ac:dyDescent="0.25">
      <c r="A39" s="39">
        <v>36</v>
      </c>
      <c r="B39" s="40"/>
      <c r="C39" s="41"/>
      <c r="D39" s="42"/>
      <c r="E39" s="43"/>
      <c r="F39" s="47">
        <f t="shared" si="3"/>
        <v>0</v>
      </c>
      <c r="G39" s="45" t="s">
        <v>86</v>
      </c>
      <c r="H39" s="46">
        <f t="shared" si="4"/>
        <v>0</v>
      </c>
      <c r="I39" s="46">
        <f t="shared" si="5"/>
        <v>0</v>
      </c>
      <c r="J39" s="43"/>
      <c r="K39" s="41"/>
    </row>
    <row r="40" spans="1:11" ht="16.5" customHeight="1" x14ac:dyDescent="0.25">
      <c r="A40" s="39">
        <v>37</v>
      </c>
      <c r="B40" s="40"/>
      <c r="C40" s="41"/>
      <c r="D40" s="42"/>
      <c r="E40" s="43"/>
      <c r="F40" s="44">
        <f t="shared" si="3"/>
        <v>0</v>
      </c>
      <c r="G40" s="45" t="s">
        <v>86</v>
      </c>
      <c r="H40" s="46">
        <f t="shared" si="4"/>
        <v>0</v>
      </c>
      <c r="I40" s="46">
        <f t="shared" si="5"/>
        <v>0</v>
      </c>
      <c r="J40" s="43"/>
      <c r="K40" s="41"/>
    </row>
    <row r="41" spans="1:11" ht="16.5" customHeight="1" x14ac:dyDescent="0.25">
      <c r="A41" s="39">
        <v>38</v>
      </c>
      <c r="B41" s="40"/>
      <c r="C41" s="41"/>
      <c r="D41" s="42"/>
      <c r="E41" s="43"/>
      <c r="F41" s="47">
        <f t="shared" si="3"/>
        <v>0</v>
      </c>
      <c r="G41" s="45" t="s">
        <v>86</v>
      </c>
      <c r="H41" s="46">
        <f t="shared" si="4"/>
        <v>0</v>
      </c>
      <c r="I41" s="46">
        <f t="shared" si="5"/>
        <v>0</v>
      </c>
      <c r="J41" s="43"/>
      <c r="K41" s="41"/>
    </row>
    <row r="42" spans="1:11" ht="16.5" customHeight="1" x14ac:dyDescent="0.25">
      <c r="A42" s="39">
        <v>39</v>
      </c>
      <c r="B42" s="40"/>
      <c r="C42" s="41"/>
      <c r="D42" s="42"/>
      <c r="E42" s="43"/>
      <c r="F42" s="44">
        <f t="shared" si="3"/>
        <v>0</v>
      </c>
      <c r="G42" s="45" t="s">
        <v>86</v>
      </c>
      <c r="H42" s="46">
        <f t="shared" si="4"/>
        <v>0</v>
      </c>
      <c r="I42" s="46">
        <f t="shared" si="5"/>
        <v>0</v>
      </c>
      <c r="J42" s="43"/>
      <c r="K42" s="41"/>
    </row>
    <row r="43" spans="1:11" ht="16.5" customHeight="1" x14ac:dyDescent="0.25">
      <c r="A43" s="39">
        <v>40</v>
      </c>
      <c r="B43" s="40"/>
      <c r="C43" s="41"/>
      <c r="D43" s="42"/>
      <c r="E43" s="43"/>
      <c r="F43" s="47">
        <f t="shared" si="3"/>
        <v>0</v>
      </c>
      <c r="G43" s="45" t="s">
        <v>86</v>
      </c>
      <c r="H43" s="46">
        <f t="shared" si="4"/>
        <v>0</v>
      </c>
      <c r="I43" s="46">
        <f t="shared" si="5"/>
        <v>0</v>
      </c>
      <c r="J43" s="43"/>
      <c r="K43" s="41"/>
    </row>
    <row r="44" spans="1:11" ht="16.5" customHeight="1" x14ac:dyDescent="0.25">
      <c r="A44" s="39">
        <v>41</v>
      </c>
      <c r="B44" s="40"/>
      <c r="C44" s="41"/>
      <c r="D44" s="42"/>
      <c r="E44" s="43"/>
      <c r="F44" s="44">
        <f t="shared" si="3"/>
        <v>0</v>
      </c>
      <c r="G44" s="45" t="s">
        <v>86</v>
      </c>
      <c r="H44" s="46">
        <f t="shared" si="4"/>
        <v>0</v>
      </c>
      <c r="I44" s="46">
        <f t="shared" si="5"/>
        <v>0</v>
      </c>
      <c r="J44" s="43"/>
      <c r="K44" s="41"/>
    </row>
    <row r="45" spans="1:11" ht="16.5" customHeight="1" x14ac:dyDescent="0.25">
      <c r="A45" s="39">
        <v>42</v>
      </c>
      <c r="B45" s="40"/>
      <c r="C45" s="41"/>
      <c r="D45" s="42"/>
      <c r="E45" s="43"/>
      <c r="F45" s="47">
        <f t="shared" si="3"/>
        <v>0</v>
      </c>
      <c r="G45" s="45" t="s">
        <v>86</v>
      </c>
      <c r="H45" s="46">
        <f t="shared" si="4"/>
        <v>0</v>
      </c>
      <c r="I45" s="46">
        <f t="shared" si="5"/>
        <v>0</v>
      </c>
      <c r="J45" s="43"/>
      <c r="K45" s="41"/>
    </row>
    <row r="46" spans="1:11" ht="16.5" customHeight="1" x14ac:dyDescent="0.25">
      <c r="A46" s="39">
        <v>43</v>
      </c>
      <c r="B46" s="40"/>
      <c r="C46" s="41"/>
      <c r="D46" s="42"/>
      <c r="E46" s="43"/>
      <c r="F46" s="44">
        <f t="shared" si="3"/>
        <v>0</v>
      </c>
      <c r="G46" s="45" t="s">
        <v>86</v>
      </c>
      <c r="H46" s="46">
        <f t="shared" si="4"/>
        <v>0</v>
      </c>
      <c r="I46" s="46">
        <f t="shared" si="5"/>
        <v>0</v>
      </c>
      <c r="J46" s="43"/>
      <c r="K46" s="41"/>
    </row>
    <row r="47" spans="1:11" ht="16.5" customHeight="1" x14ac:dyDescent="0.25">
      <c r="A47" s="39">
        <v>44</v>
      </c>
      <c r="B47" s="40"/>
      <c r="C47" s="41"/>
      <c r="D47" s="42"/>
      <c r="E47" s="43"/>
      <c r="F47" s="47">
        <f t="shared" si="3"/>
        <v>0</v>
      </c>
      <c r="G47" s="45" t="s">
        <v>86</v>
      </c>
      <c r="H47" s="46">
        <f t="shared" si="4"/>
        <v>0</v>
      </c>
      <c r="I47" s="46">
        <f t="shared" si="5"/>
        <v>0</v>
      </c>
      <c r="J47" s="43"/>
      <c r="K47" s="41"/>
    </row>
    <row r="48" spans="1:11" ht="16.5" customHeight="1" x14ac:dyDescent="0.25">
      <c r="A48" s="39">
        <v>45</v>
      </c>
      <c r="B48" s="40"/>
      <c r="C48" s="41"/>
      <c r="D48" s="42"/>
      <c r="E48" s="43"/>
      <c r="F48" s="44">
        <f t="shared" si="3"/>
        <v>0</v>
      </c>
      <c r="G48" s="45" t="s">
        <v>86</v>
      </c>
      <c r="H48" s="46">
        <f t="shared" si="4"/>
        <v>0</v>
      </c>
      <c r="I48" s="46">
        <f t="shared" si="5"/>
        <v>0</v>
      </c>
      <c r="J48" s="43"/>
      <c r="K48" s="41"/>
    </row>
    <row r="49" spans="1:11" ht="16.5" customHeight="1" x14ac:dyDescent="0.25">
      <c r="A49" s="39">
        <v>46</v>
      </c>
      <c r="B49" s="40"/>
      <c r="C49" s="41"/>
      <c r="D49" s="42"/>
      <c r="E49" s="43"/>
      <c r="F49" s="47">
        <f t="shared" si="3"/>
        <v>0</v>
      </c>
      <c r="G49" s="45" t="s">
        <v>86</v>
      </c>
      <c r="H49" s="46">
        <f t="shared" si="4"/>
        <v>0</v>
      </c>
      <c r="I49" s="46">
        <f t="shared" si="5"/>
        <v>0</v>
      </c>
      <c r="J49" s="43"/>
      <c r="K49" s="41"/>
    </row>
    <row r="50" spans="1:11" ht="16.5" customHeight="1" x14ac:dyDescent="0.25">
      <c r="A50" s="39">
        <v>47</v>
      </c>
      <c r="B50" s="40"/>
      <c r="C50" s="41"/>
      <c r="D50" s="42"/>
      <c r="E50" s="43"/>
      <c r="F50" s="44">
        <f t="shared" si="3"/>
        <v>0</v>
      </c>
      <c r="G50" s="45" t="s">
        <v>86</v>
      </c>
      <c r="H50" s="46">
        <f t="shared" si="4"/>
        <v>0</v>
      </c>
      <c r="I50" s="46">
        <f t="shared" si="5"/>
        <v>0</v>
      </c>
      <c r="J50" s="43"/>
      <c r="K50" s="41"/>
    </row>
    <row r="51" spans="1:11" ht="16.5" customHeight="1" x14ac:dyDescent="0.25">
      <c r="A51" s="39">
        <v>48</v>
      </c>
      <c r="B51" s="40"/>
      <c r="C51" s="41"/>
      <c r="D51" s="42"/>
      <c r="E51" s="43"/>
      <c r="F51" s="47">
        <f t="shared" si="3"/>
        <v>0</v>
      </c>
      <c r="G51" s="45" t="s">
        <v>86</v>
      </c>
      <c r="H51" s="46">
        <f t="shared" si="4"/>
        <v>0</v>
      </c>
      <c r="I51" s="46">
        <f t="shared" si="5"/>
        <v>0</v>
      </c>
      <c r="J51" s="43"/>
      <c r="K51" s="41"/>
    </row>
    <row r="52" spans="1:11" ht="16.5" customHeight="1" x14ac:dyDescent="0.25">
      <c r="A52" s="39">
        <v>49</v>
      </c>
      <c r="B52" s="40"/>
      <c r="C52" s="41"/>
      <c r="D52" s="42"/>
      <c r="E52" s="43"/>
      <c r="F52" s="44">
        <f t="shared" si="3"/>
        <v>0</v>
      </c>
      <c r="G52" s="45" t="s">
        <v>86</v>
      </c>
      <c r="H52" s="46">
        <f t="shared" si="4"/>
        <v>0</v>
      </c>
      <c r="I52" s="46">
        <f t="shared" si="5"/>
        <v>0</v>
      </c>
      <c r="J52" s="43"/>
      <c r="K52" s="41"/>
    </row>
    <row r="53" spans="1:11" ht="16.5" customHeight="1" x14ac:dyDescent="0.25">
      <c r="A53" s="39">
        <v>50</v>
      </c>
      <c r="B53" s="40"/>
      <c r="C53" s="41"/>
      <c r="D53" s="42"/>
      <c r="E53" s="43"/>
      <c r="F53" s="47">
        <f t="shared" si="3"/>
        <v>0</v>
      </c>
      <c r="G53" s="45" t="s">
        <v>86</v>
      </c>
      <c r="H53" s="46">
        <f t="shared" si="4"/>
        <v>0</v>
      </c>
      <c r="I53" s="46">
        <f t="shared" si="5"/>
        <v>0</v>
      </c>
      <c r="J53" s="43"/>
      <c r="K53" s="41"/>
    </row>
    <row r="54" spans="1:11" ht="16.5" customHeight="1" x14ac:dyDescent="0.25">
      <c r="A54" s="39">
        <v>51</v>
      </c>
      <c r="B54" s="40"/>
      <c r="C54" s="41"/>
      <c r="D54" s="42"/>
      <c r="E54" s="43"/>
      <c r="F54" s="44">
        <f t="shared" si="3"/>
        <v>0</v>
      </c>
      <c r="G54" s="45" t="s">
        <v>86</v>
      </c>
      <c r="H54" s="46">
        <f t="shared" si="4"/>
        <v>0</v>
      </c>
      <c r="I54" s="46">
        <f t="shared" si="5"/>
        <v>0</v>
      </c>
      <c r="J54" s="43"/>
      <c r="K54" s="41"/>
    </row>
    <row r="55" spans="1:11" ht="16.5" customHeight="1" x14ac:dyDescent="0.25">
      <c r="A55" s="39">
        <v>52</v>
      </c>
      <c r="B55" s="40"/>
      <c r="C55" s="41"/>
      <c r="D55" s="42"/>
      <c r="E55" s="43"/>
      <c r="F55" s="47">
        <f t="shared" si="3"/>
        <v>0</v>
      </c>
      <c r="G55" s="45" t="s">
        <v>86</v>
      </c>
      <c r="H55" s="46">
        <f t="shared" si="4"/>
        <v>0</v>
      </c>
      <c r="I55" s="46">
        <f t="shared" si="5"/>
        <v>0</v>
      </c>
      <c r="J55" s="43"/>
      <c r="K55" s="41"/>
    </row>
    <row r="56" spans="1:11" ht="16.5" customHeight="1" x14ac:dyDescent="0.25">
      <c r="A56" s="39">
        <v>53</v>
      </c>
      <c r="B56" s="40"/>
      <c r="C56" s="41"/>
      <c r="D56" s="42"/>
      <c r="E56" s="43"/>
      <c r="F56" s="44">
        <f t="shared" si="3"/>
        <v>0</v>
      </c>
      <c r="G56" s="45" t="s">
        <v>86</v>
      </c>
      <c r="H56" s="46">
        <f t="shared" si="4"/>
        <v>0</v>
      </c>
      <c r="I56" s="46">
        <f t="shared" si="5"/>
        <v>0</v>
      </c>
      <c r="J56" s="43"/>
      <c r="K56" s="41"/>
    </row>
    <row r="57" spans="1:11" ht="16.5" customHeight="1" x14ac:dyDescent="0.25">
      <c r="A57" s="39">
        <v>54</v>
      </c>
      <c r="B57" s="40"/>
      <c r="C57" s="41"/>
      <c r="D57" s="42"/>
      <c r="E57" s="43"/>
      <c r="F57" s="47">
        <f t="shared" si="3"/>
        <v>0</v>
      </c>
      <c r="G57" s="45" t="s">
        <v>86</v>
      </c>
      <c r="H57" s="46">
        <f t="shared" si="4"/>
        <v>0</v>
      </c>
      <c r="I57" s="46">
        <f t="shared" si="5"/>
        <v>0</v>
      </c>
      <c r="J57" s="43"/>
      <c r="K57" s="41"/>
    </row>
    <row r="58" spans="1:11" ht="16.5" customHeight="1" x14ac:dyDescent="0.25">
      <c r="A58" s="39">
        <v>55</v>
      </c>
      <c r="B58" s="40"/>
      <c r="C58" s="41"/>
      <c r="D58" s="42"/>
      <c r="E58" s="43"/>
      <c r="F58" s="44">
        <f t="shared" si="3"/>
        <v>0</v>
      </c>
      <c r="G58" s="45" t="s">
        <v>86</v>
      </c>
      <c r="H58" s="46">
        <f t="shared" si="4"/>
        <v>0</v>
      </c>
      <c r="I58" s="46">
        <f t="shared" si="5"/>
        <v>0</v>
      </c>
      <c r="J58" s="43"/>
      <c r="K58" s="41"/>
    </row>
    <row r="59" spans="1:11" ht="16.5" customHeight="1" x14ac:dyDescent="0.25">
      <c r="A59" s="39">
        <v>56</v>
      </c>
      <c r="B59" s="40"/>
      <c r="C59" s="41"/>
      <c r="D59" s="42"/>
      <c r="E59" s="43"/>
      <c r="F59" s="47">
        <f t="shared" si="3"/>
        <v>0</v>
      </c>
      <c r="G59" s="45" t="s">
        <v>86</v>
      </c>
      <c r="H59" s="46">
        <f t="shared" si="4"/>
        <v>0</v>
      </c>
      <c r="I59" s="46">
        <f t="shared" si="5"/>
        <v>0</v>
      </c>
      <c r="J59" s="43"/>
      <c r="K59" s="41"/>
    </row>
    <row r="60" spans="1:11" ht="16.5" customHeight="1" x14ac:dyDescent="0.25">
      <c r="A60" s="39">
        <v>57</v>
      </c>
      <c r="B60" s="40"/>
      <c r="C60" s="41"/>
      <c r="D60" s="42"/>
      <c r="E60" s="43"/>
      <c r="F60" s="44">
        <f t="shared" si="3"/>
        <v>0</v>
      </c>
      <c r="G60" s="45" t="s">
        <v>86</v>
      </c>
      <c r="H60" s="46">
        <f t="shared" si="4"/>
        <v>0</v>
      </c>
      <c r="I60" s="46">
        <f t="shared" si="5"/>
        <v>0</v>
      </c>
      <c r="J60" s="43"/>
      <c r="K60" s="41"/>
    </row>
    <row r="61" spans="1:11" ht="16.5" customHeight="1" x14ac:dyDescent="0.25">
      <c r="A61" s="39">
        <v>58</v>
      </c>
      <c r="B61" s="40"/>
      <c r="C61" s="41"/>
      <c r="D61" s="42"/>
      <c r="E61" s="43"/>
      <c r="F61" s="47">
        <f t="shared" si="3"/>
        <v>0</v>
      </c>
      <c r="G61" s="45" t="s">
        <v>86</v>
      </c>
      <c r="H61" s="46">
        <f t="shared" si="4"/>
        <v>0</v>
      </c>
      <c r="I61" s="46">
        <f t="shared" si="5"/>
        <v>0</v>
      </c>
      <c r="J61" s="43"/>
      <c r="K61" s="41"/>
    </row>
    <row r="62" spans="1:11" ht="16.5" customHeight="1" x14ac:dyDescent="0.25">
      <c r="A62" s="39">
        <v>59</v>
      </c>
      <c r="B62" s="40"/>
      <c r="C62" s="41"/>
      <c r="D62" s="42"/>
      <c r="E62" s="43"/>
      <c r="F62" s="44">
        <f t="shared" si="3"/>
        <v>0</v>
      </c>
      <c r="G62" s="45" t="s">
        <v>86</v>
      </c>
      <c r="H62" s="46">
        <f t="shared" si="4"/>
        <v>0</v>
      </c>
      <c r="I62" s="46">
        <f t="shared" si="5"/>
        <v>0</v>
      </c>
      <c r="J62" s="43"/>
      <c r="K62" s="41"/>
    </row>
    <row r="63" spans="1:11" ht="16.5" customHeight="1" x14ac:dyDescent="0.25">
      <c r="A63" s="39">
        <v>60</v>
      </c>
      <c r="B63" s="40"/>
      <c r="C63" s="41"/>
      <c r="D63" s="42"/>
      <c r="E63" s="43"/>
      <c r="F63" s="47">
        <f t="shared" si="3"/>
        <v>0</v>
      </c>
      <c r="G63" s="45" t="s">
        <v>86</v>
      </c>
      <c r="H63" s="46">
        <f t="shared" si="4"/>
        <v>0</v>
      </c>
      <c r="I63" s="46">
        <f t="shared" si="5"/>
        <v>0</v>
      </c>
      <c r="J63" s="43"/>
      <c r="K63" s="41"/>
    </row>
    <row r="64" spans="1:11" ht="16.5" customHeight="1" x14ac:dyDescent="0.25">
      <c r="A64" s="39">
        <v>61</v>
      </c>
      <c r="B64" s="40"/>
      <c r="C64" s="41"/>
      <c r="D64" s="42"/>
      <c r="E64" s="43"/>
      <c r="F64" s="44">
        <f t="shared" si="3"/>
        <v>0</v>
      </c>
      <c r="G64" s="45" t="s">
        <v>86</v>
      </c>
      <c r="H64" s="46">
        <f t="shared" si="4"/>
        <v>0</v>
      </c>
      <c r="I64" s="46">
        <f t="shared" si="5"/>
        <v>0</v>
      </c>
      <c r="J64" s="43"/>
      <c r="K64" s="41"/>
    </row>
    <row r="65" spans="1:11" ht="16.5" customHeight="1" x14ac:dyDescent="0.25">
      <c r="A65" s="39">
        <v>62</v>
      </c>
      <c r="B65" s="40"/>
      <c r="C65" s="41"/>
      <c r="D65" s="42"/>
      <c r="E65" s="43"/>
      <c r="F65" s="47">
        <f t="shared" si="3"/>
        <v>0</v>
      </c>
      <c r="G65" s="45" t="s">
        <v>86</v>
      </c>
      <c r="H65" s="46">
        <f t="shared" si="4"/>
        <v>0</v>
      </c>
      <c r="I65" s="46">
        <f t="shared" si="5"/>
        <v>0</v>
      </c>
      <c r="J65" s="43"/>
      <c r="K65" s="41"/>
    </row>
    <row r="66" spans="1:11" ht="16.5" customHeight="1" x14ac:dyDescent="0.25">
      <c r="A66" s="39">
        <v>63</v>
      </c>
      <c r="B66" s="40"/>
      <c r="C66" s="41"/>
      <c r="D66" s="42"/>
      <c r="E66" s="43"/>
      <c r="F66" s="44">
        <f t="shared" si="3"/>
        <v>0</v>
      </c>
      <c r="G66" s="45" t="s">
        <v>86</v>
      </c>
      <c r="H66" s="46">
        <f t="shared" si="4"/>
        <v>0</v>
      </c>
      <c r="I66" s="46">
        <f t="shared" si="5"/>
        <v>0</v>
      </c>
      <c r="J66" s="43"/>
      <c r="K66" s="41"/>
    </row>
    <row r="67" spans="1:11" ht="16.5" customHeight="1" x14ac:dyDescent="0.25">
      <c r="A67" s="39">
        <v>64</v>
      </c>
      <c r="B67" s="40"/>
      <c r="C67" s="41"/>
      <c r="D67" s="42"/>
      <c r="E67" s="43"/>
      <c r="F67" s="47">
        <f t="shared" si="3"/>
        <v>0</v>
      </c>
      <c r="G67" s="45" t="s">
        <v>86</v>
      </c>
      <c r="H67" s="46">
        <f t="shared" si="4"/>
        <v>0</v>
      </c>
      <c r="I67" s="46">
        <f t="shared" si="5"/>
        <v>0</v>
      </c>
      <c r="J67" s="43"/>
      <c r="K67" s="41"/>
    </row>
    <row r="68" spans="1:11" ht="16.5" customHeight="1" x14ac:dyDescent="0.25">
      <c r="A68" s="39">
        <v>65</v>
      </c>
      <c r="B68" s="40"/>
      <c r="C68" s="41"/>
      <c r="D68" s="42"/>
      <c r="E68" s="43"/>
      <c r="F68" s="44">
        <f t="shared" ref="F68:F99" si="6">IF(ISNUMBER(E68),E68,0)</f>
        <v>0</v>
      </c>
      <c r="G68" s="45" t="s">
        <v>86</v>
      </c>
      <c r="H68" s="46">
        <f t="shared" ref="H68:H99" si="7">IF(ISNUMBER(E68),ROUND(E68*IF(G68="20%",0.2,IF(G68="5%",0.05,0)),2),0)</f>
        <v>0</v>
      </c>
      <c r="I68" s="46">
        <f t="shared" ref="I68:I99" si="8">IF(ISNUMBER(E68),E68+H68,0)</f>
        <v>0</v>
      </c>
      <c r="J68" s="43"/>
      <c r="K68" s="41"/>
    </row>
    <row r="69" spans="1:11" ht="16.5" customHeight="1" x14ac:dyDescent="0.25">
      <c r="A69" s="39">
        <v>66</v>
      </c>
      <c r="B69" s="40"/>
      <c r="C69" s="41"/>
      <c r="D69" s="42"/>
      <c r="E69" s="43"/>
      <c r="F69" s="47">
        <f t="shared" si="6"/>
        <v>0</v>
      </c>
      <c r="G69" s="45" t="s">
        <v>86</v>
      </c>
      <c r="H69" s="46">
        <f t="shared" si="7"/>
        <v>0</v>
      </c>
      <c r="I69" s="46">
        <f t="shared" si="8"/>
        <v>0</v>
      </c>
      <c r="J69" s="43"/>
      <c r="K69" s="41"/>
    </row>
    <row r="70" spans="1:11" ht="16.5" customHeight="1" x14ac:dyDescent="0.25">
      <c r="A70" s="39">
        <v>67</v>
      </c>
      <c r="B70" s="40"/>
      <c r="C70" s="41"/>
      <c r="D70" s="42"/>
      <c r="E70" s="43"/>
      <c r="F70" s="44">
        <f t="shared" si="6"/>
        <v>0</v>
      </c>
      <c r="G70" s="45" t="s">
        <v>86</v>
      </c>
      <c r="H70" s="46">
        <f t="shared" si="7"/>
        <v>0</v>
      </c>
      <c r="I70" s="46">
        <f t="shared" si="8"/>
        <v>0</v>
      </c>
      <c r="J70" s="43"/>
      <c r="K70" s="41"/>
    </row>
    <row r="71" spans="1:11" ht="16.5" customHeight="1" x14ac:dyDescent="0.25">
      <c r="A71" s="39">
        <v>68</v>
      </c>
      <c r="B71" s="40"/>
      <c r="C71" s="41"/>
      <c r="D71" s="42"/>
      <c r="E71" s="43"/>
      <c r="F71" s="47">
        <f t="shared" si="6"/>
        <v>0</v>
      </c>
      <c r="G71" s="45" t="s">
        <v>86</v>
      </c>
      <c r="H71" s="46">
        <f t="shared" si="7"/>
        <v>0</v>
      </c>
      <c r="I71" s="46">
        <f t="shared" si="8"/>
        <v>0</v>
      </c>
      <c r="J71" s="43"/>
      <c r="K71" s="41"/>
    </row>
    <row r="72" spans="1:11" ht="16.5" customHeight="1" x14ac:dyDescent="0.25">
      <c r="A72" s="39">
        <v>69</v>
      </c>
      <c r="B72" s="40"/>
      <c r="C72" s="41"/>
      <c r="D72" s="42"/>
      <c r="E72" s="43"/>
      <c r="F72" s="44">
        <f t="shared" si="6"/>
        <v>0</v>
      </c>
      <c r="G72" s="45" t="s">
        <v>86</v>
      </c>
      <c r="H72" s="46">
        <f t="shared" si="7"/>
        <v>0</v>
      </c>
      <c r="I72" s="46">
        <f t="shared" si="8"/>
        <v>0</v>
      </c>
      <c r="J72" s="43"/>
      <c r="K72" s="41"/>
    </row>
    <row r="73" spans="1:11" ht="16.5" customHeight="1" x14ac:dyDescent="0.25">
      <c r="A73" s="39">
        <v>70</v>
      </c>
      <c r="B73" s="40"/>
      <c r="C73" s="41"/>
      <c r="D73" s="42"/>
      <c r="E73" s="43"/>
      <c r="F73" s="47">
        <f t="shared" si="6"/>
        <v>0</v>
      </c>
      <c r="G73" s="45" t="s">
        <v>86</v>
      </c>
      <c r="H73" s="46">
        <f t="shared" si="7"/>
        <v>0</v>
      </c>
      <c r="I73" s="46">
        <f t="shared" si="8"/>
        <v>0</v>
      </c>
      <c r="J73" s="43"/>
      <c r="K73" s="41"/>
    </row>
    <row r="74" spans="1:11" ht="16.5" customHeight="1" x14ac:dyDescent="0.25">
      <c r="A74" s="39">
        <v>71</v>
      </c>
      <c r="B74" s="40"/>
      <c r="C74" s="41"/>
      <c r="D74" s="42"/>
      <c r="E74" s="43"/>
      <c r="F74" s="44">
        <f t="shared" si="6"/>
        <v>0</v>
      </c>
      <c r="G74" s="45" t="s">
        <v>86</v>
      </c>
      <c r="H74" s="46">
        <f t="shared" si="7"/>
        <v>0</v>
      </c>
      <c r="I74" s="46">
        <f t="shared" si="8"/>
        <v>0</v>
      </c>
      <c r="J74" s="43"/>
      <c r="K74" s="41"/>
    </row>
    <row r="75" spans="1:11" ht="16.5" customHeight="1" x14ac:dyDescent="0.25">
      <c r="A75" s="39">
        <v>72</v>
      </c>
      <c r="B75" s="40"/>
      <c r="C75" s="41"/>
      <c r="D75" s="42"/>
      <c r="E75" s="43"/>
      <c r="F75" s="47">
        <f t="shared" si="6"/>
        <v>0</v>
      </c>
      <c r="G75" s="45" t="s">
        <v>86</v>
      </c>
      <c r="H75" s="46">
        <f t="shared" si="7"/>
        <v>0</v>
      </c>
      <c r="I75" s="46">
        <f t="shared" si="8"/>
        <v>0</v>
      </c>
      <c r="J75" s="43"/>
      <c r="K75" s="41"/>
    </row>
    <row r="76" spans="1:11" ht="16.5" customHeight="1" x14ac:dyDescent="0.25">
      <c r="A76" s="39">
        <v>73</v>
      </c>
      <c r="B76" s="40"/>
      <c r="C76" s="41"/>
      <c r="D76" s="42"/>
      <c r="E76" s="43"/>
      <c r="F76" s="44">
        <f t="shared" si="6"/>
        <v>0</v>
      </c>
      <c r="G76" s="45" t="s">
        <v>86</v>
      </c>
      <c r="H76" s="46">
        <f t="shared" si="7"/>
        <v>0</v>
      </c>
      <c r="I76" s="46">
        <f t="shared" si="8"/>
        <v>0</v>
      </c>
      <c r="J76" s="43"/>
      <c r="K76" s="41"/>
    </row>
    <row r="77" spans="1:11" ht="16.5" customHeight="1" x14ac:dyDescent="0.25">
      <c r="A77" s="39">
        <v>74</v>
      </c>
      <c r="B77" s="40"/>
      <c r="C77" s="41"/>
      <c r="D77" s="42"/>
      <c r="E77" s="43"/>
      <c r="F77" s="47">
        <f t="shared" si="6"/>
        <v>0</v>
      </c>
      <c r="G77" s="45" t="s">
        <v>86</v>
      </c>
      <c r="H77" s="46">
        <f t="shared" si="7"/>
        <v>0</v>
      </c>
      <c r="I77" s="46">
        <f t="shared" si="8"/>
        <v>0</v>
      </c>
      <c r="J77" s="43"/>
      <c r="K77" s="41"/>
    </row>
    <row r="78" spans="1:11" ht="16.5" customHeight="1" x14ac:dyDescent="0.25">
      <c r="A78" s="39">
        <v>75</v>
      </c>
      <c r="B78" s="40"/>
      <c r="C78" s="41"/>
      <c r="D78" s="42"/>
      <c r="E78" s="43"/>
      <c r="F78" s="44">
        <f t="shared" si="6"/>
        <v>0</v>
      </c>
      <c r="G78" s="45" t="s">
        <v>86</v>
      </c>
      <c r="H78" s="46">
        <f t="shared" si="7"/>
        <v>0</v>
      </c>
      <c r="I78" s="46">
        <f t="shared" si="8"/>
        <v>0</v>
      </c>
      <c r="J78" s="43"/>
      <c r="K78" s="41"/>
    </row>
    <row r="79" spans="1:11" ht="16.5" customHeight="1" x14ac:dyDescent="0.25">
      <c r="A79" s="39">
        <v>76</v>
      </c>
      <c r="B79" s="40"/>
      <c r="C79" s="41"/>
      <c r="D79" s="42"/>
      <c r="E79" s="43"/>
      <c r="F79" s="47">
        <f t="shared" si="6"/>
        <v>0</v>
      </c>
      <c r="G79" s="45" t="s">
        <v>86</v>
      </c>
      <c r="H79" s="46">
        <f t="shared" si="7"/>
        <v>0</v>
      </c>
      <c r="I79" s="46">
        <f t="shared" si="8"/>
        <v>0</v>
      </c>
      <c r="J79" s="43"/>
      <c r="K79" s="41"/>
    </row>
    <row r="80" spans="1:11" ht="16.5" customHeight="1" x14ac:dyDescent="0.25">
      <c r="A80" s="39">
        <v>77</v>
      </c>
      <c r="B80" s="40"/>
      <c r="C80" s="41"/>
      <c r="D80" s="42"/>
      <c r="E80" s="43"/>
      <c r="F80" s="44">
        <f t="shared" si="6"/>
        <v>0</v>
      </c>
      <c r="G80" s="45" t="s">
        <v>86</v>
      </c>
      <c r="H80" s="46">
        <f t="shared" si="7"/>
        <v>0</v>
      </c>
      <c r="I80" s="46">
        <f t="shared" si="8"/>
        <v>0</v>
      </c>
      <c r="J80" s="43"/>
      <c r="K80" s="41"/>
    </row>
    <row r="81" spans="1:11" ht="16.5" customHeight="1" x14ac:dyDescent="0.25">
      <c r="A81" s="39">
        <v>78</v>
      </c>
      <c r="B81" s="40"/>
      <c r="C81" s="41"/>
      <c r="D81" s="42"/>
      <c r="E81" s="43"/>
      <c r="F81" s="47">
        <f t="shared" si="6"/>
        <v>0</v>
      </c>
      <c r="G81" s="45" t="s">
        <v>86</v>
      </c>
      <c r="H81" s="46">
        <f t="shared" si="7"/>
        <v>0</v>
      </c>
      <c r="I81" s="46">
        <f t="shared" si="8"/>
        <v>0</v>
      </c>
      <c r="J81" s="43"/>
      <c r="K81" s="41"/>
    </row>
    <row r="82" spans="1:11" ht="16.5" customHeight="1" x14ac:dyDescent="0.25">
      <c r="A82" s="39">
        <v>79</v>
      </c>
      <c r="B82" s="40"/>
      <c r="C82" s="41"/>
      <c r="D82" s="42"/>
      <c r="E82" s="43"/>
      <c r="F82" s="44">
        <f t="shared" si="6"/>
        <v>0</v>
      </c>
      <c r="G82" s="45" t="s">
        <v>86</v>
      </c>
      <c r="H82" s="46">
        <f t="shared" si="7"/>
        <v>0</v>
      </c>
      <c r="I82" s="46">
        <f t="shared" si="8"/>
        <v>0</v>
      </c>
      <c r="J82" s="43"/>
      <c r="K82" s="41"/>
    </row>
    <row r="83" spans="1:11" ht="16.5" customHeight="1" x14ac:dyDescent="0.25">
      <c r="A83" s="39">
        <v>80</v>
      </c>
      <c r="B83" s="40"/>
      <c r="C83" s="41"/>
      <c r="D83" s="42"/>
      <c r="E83" s="43"/>
      <c r="F83" s="47">
        <f t="shared" si="6"/>
        <v>0</v>
      </c>
      <c r="G83" s="45" t="s">
        <v>86</v>
      </c>
      <c r="H83" s="46">
        <f t="shared" si="7"/>
        <v>0</v>
      </c>
      <c r="I83" s="46">
        <f t="shared" si="8"/>
        <v>0</v>
      </c>
      <c r="J83" s="43"/>
      <c r="K83" s="41"/>
    </row>
    <row r="84" spans="1:11" ht="16.5" customHeight="1" x14ac:dyDescent="0.25">
      <c r="A84" s="39">
        <v>81</v>
      </c>
      <c r="B84" s="40"/>
      <c r="C84" s="41"/>
      <c r="D84" s="42"/>
      <c r="E84" s="43"/>
      <c r="F84" s="44">
        <f t="shared" si="6"/>
        <v>0</v>
      </c>
      <c r="G84" s="45" t="s">
        <v>86</v>
      </c>
      <c r="H84" s="46">
        <f t="shared" si="7"/>
        <v>0</v>
      </c>
      <c r="I84" s="46">
        <f t="shared" si="8"/>
        <v>0</v>
      </c>
      <c r="J84" s="43"/>
      <c r="K84" s="41"/>
    </row>
    <row r="85" spans="1:11" ht="16.5" customHeight="1" x14ac:dyDescent="0.25">
      <c r="A85" s="39">
        <v>82</v>
      </c>
      <c r="B85" s="40"/>
      <c r="C85" s="41"/>
      <c r="D85" s="42"/>
      <c r="E85" s="43"/>
      <c r="F85" s="47">
        <f t="shared" si="6"/>
        <v>0</v>
      </c>
      <c r="G85" s="45" t="s">
        <v>86</v>
      </c>
      <c r="H85" s="46">
        <f t="shared" si="7"/>
        <v>0</v>
      </c>
      <c r="I85" s="46">
        <f t="shared" si="8"/>
        <v>0</v>
      </c>
      <c r="J85" s="43"/>
      <c r="K85" s="41"/>
    </row>
    <row r="86" spans="1:11" ht="16.5" customHeight="1" x14ac:dyDescent="0.25">
      <c r="A86" s="39">
        <v>83</v>
      </c>
      <c r="B86" s="40"/>
      <c r="C86" s="41"/>
      <c r="D86" s="42"/>
      <c r="E86" s="43"/>
      <c r="F86" s="44">
        <f t="shared" si="6"/>
        <v>0</v>
      </c>
      <c r="G86" s="45" t="s">
        <v>86</v>
      </c>
      <c r="H86" s="46">
        <f t="shared" si="7"/>
        <v>0</v>
      </c>
      <c r="I86" s="46">
        <f t="shared" si="8"/>
        <v>0</v>
      </c>
      <c r="J86" s="43"/>
      <c r="K86" s="41"/>
    </row>
    <row r="87" spans="1:11" ht="16.5" customHeight="1" x14ac:dyDescent="0.25">
      <c r="A87" s="39">
        <v>84</v>
      </c>
      <c r="B87" s="40"/>
      <c r="C87" s="41"/>
      <c r="D87" s="42"/>
      <c r="E87" s="43"/>
      <c r="F87" s="47">
        <f t="shared" si="6"/>
        <v>0</v>
      </c>
      <c r="G87" s="45" t="s">
        <v>86</v>
      </c>
      <c r="H87" s="46">
        <f t="shared" si="7"/>
        <v>0</v>
      </c>
      <c r="I87" s="46">
        <f t="shared" si="8"/>
        <v>0</v>
      </c>
      <c r="J87" s="43"/>
      <c r="K87" s="41"/>
    </row>
    <row r="88" spans="1:11" ht="16.5" customHeight="1" x14ac:dyDescent="0.25">
      <c r="A88" s="39">
        <v>85</v>
      </c>
      <c r="B88" s="40"/>
      <c r="C88" s="41"/>
      <c r="D88" s="42"/>
      <c r="E88" s="43"/>
      <c r="F88" s="44">
        <f t="shared" si="6"/>
        <v>0</v>
      </c>
      <c r="G88" s="45" t="s">
        <v>86</v>
      </c>
      <c r="H88" s="46">
        <f t="shared" si="7"/>
        <v>0</v>
      </c>
      <c r="I88" s="46">
        <f t="shared" si="8"/>
        <v>0</v>
      </c>
      <c r="J88" s="43"/>
      <c r="K88" s="41"/>
    </row>
    <row r="89" spans="1:11" ht="16.5" customHeight="1" x14ac:dyDescent="0.25">
      <c r="A89" s="39">
        <v>86</v>
      </c>
      <c r="B89" s="40"/>
      <c r="C89" s="41"/>
      <c r="D89" s="42"/>
      <c r="E89" s="43"/>
      <c r="F89" s="47">
        <f t="shared" si="6"/>
        <v>0</v>
      </c>
      <c r="G89" s="45" t="s">
        <v>86</v>
      </c>
      <c r="H89" s="46">
        <f t="shared" si="7"/>
        <v>0</v>
      </c>
      <c r="I89" s="46">
        <f t="shared" si="8"/>
        <v>0</v>
      </c>
      <c r="J89" s="43"/>
      <c r="K89" s="41"/>
    </row>
    <row r="90" spans="1:11" ht="16.5" customHeight="1" x14ac:dyDescent="0.25">
      <c r="A90" s="39">
        <v>87</v>
      </c>
      <c r="B90" s="40"/>
      <c r="C90" s="41"/>
      <c r="D90" s="42"/>
      <c r="E90" s="43"/>
      <c r="F90" s="44">
        <f t="shared" si="6"/>
        <v>0</v>
      </c>
      <c r="G90" s="45" t="s">
        <v>86</v>
      </c>
      <c r="H90" s="46">
        <f t="shared" si="7"/>
        <v>0</v>
      </c>
      <c r="I90" s="46">
        <f t="shared" si="8"/>
        <v>0</v>
      </c>
      <c r="J90" s="43"/>
      <c r="K90" s="41"/>
    </row>
    <row r="91" spans="1:11" ht="16.5" customHeight="1" x14ac:dyDescent="0.25">
      <c r="A91" s="39">
        <v>88</v>
      </c>
      <c r="B91" s="40"/>
      <c r="C91" s="41"/>
      <c r="D91" s="42"/>
      <c r="E91" s="43"/>
      <c r="F91" s="47">
        <f t="shared" si="6"/>
        <v>0</v>
      </c>
      <c r="G91" s="45" t="s">
        <v>86</v>
      </c>
      <c r="H91" s="46">
        <f t="shared" si="7"/>
        <v>0</v>
      </c>
      <c r="I91" s="46">
        <f t="shared" si="8"/>
        <v>0</v>
      </c>
      <c r="J91" s="43"/>
      <c r="K91" s="41"/>
    </row>
    <row r="92" spans="1:11" ht="16.5" customHeight="1" x14ac:dyDescent="0.25">
      <c r="A92" s="39">
        <v>89</v>
      </c>
      <c r="B92" s="40"/>
      <c r="C92" s="41"/>
      <c r="D92" s="42"/>
      <c r="E92" s="43"/>
      <c r="F92" s="44">
        <f t="shared" si="6"/>
        <v>0</v>
      </c>
      <c r="G92" s="45" t="s">
        <v>86</v>
      </c>
      <c r="H92" s="46">
        <f t="shared" si="7"/>
        <v>0</v>
      </c>
      <c r="I92" s="46">
        <f t="shared" si="8"/>
        <v>0</v>
      </c>
      <c r="J92" s="43"/>
      <c r="K92" s="41"/>
    </row>
    <row r="93" spans="1:11" ht="16.5" customHeight="1" x14ac:dyDescent="0.25">
      <c r="A93" s="39">
        <v>90</v>
      </c>
      <c r="B93" s="40"/>
      <c r="C93" s="41"/>
      <c r="D93" s="42"/>
      <c r="E93" s="43"/>
      <c r="F93" s="47">
        <f t="shared" si="6"/>
        <v>0</v>
      </c>
      <c r="G93" s="45" t="s">
        <v>86</v>
      </c>
      <c r="H93" s="46">
        <f t="shared" si="7"/>
        <v>0</v>
      </c>
      <c r="I93" s="46">
        <f t="shared" si="8"/>
        <v>0</v>
      </c>
      <c r="J93" s="43"/>
      <c r="K93" s="41"/>
    </row>
    <row r="94" spans="1:11" ht="16.5" customHeight="1" x14ac:dyDescent="0.25">
      <c r="A94" s="39">
        <v>91</v>
      </c>
      <c r="B94" s="40"/>
      <c r="C94" s="41"/>
      <c r="D94" s="42"/>
      <c r="E94" s="43"/>
      <c r="F94" s="44">
        <f t="shared" si="6"/>
        <v>0</v>
      </c>
      <c r="G94" s="45" t="s">
        <v>86</v>
      </c>
      <c r="H94" s="46">
        <f t="shared" si="7"/>
        <v>0</v>
      </c>
      <c r="I94" s="46">
        <f t="shared" si="8"/>
        <v>0</v>
      </c>
      <c r="J94" s="43"/>
      <c r="K94" s="41"/>
    </row>
    <row r="95" spans="1:11" ht="16.5" customHeight="1" x14ac:dyDescent="0.25">
      <c r="A95" s="39">
        <v>92</v>
      </c>
      <c r="B95" s="40"/>
      <c r="C95" s="41"/>
      <c r="D95" s="42"/>
      <c r="E95" s="43"/>
      <c r="F95" s="47">
        <f t="shared" si="6"/>
        <v>0</v>
      </c>
      <c r="G95" s="45" t="s">
        <v>86</v>
      </c>
      <c r="H95" s="46">
        <f t="shared" si="7"/>
        <v>0</v>
      </c>
      <c r="I95" s="46">
        <f t="shared" si="8"/>
        <v>0</v>
      </c>
      <c r="J95" s="43"/>
      <c r="K95" s="41"/>
    </row>
    <row r="96" spans="1:11" ht="16.5" customHeight="1" x14ac:dyDescent="0.25">
      <c r="A96" s="39">
        <v>93</v>
      </c>
      <c r="B96" s="40"/>
      <c r="C96" s="41"/>
      <c r="D96" s="42"/>
      <c r="E96" s="43"/>
      <c r="F96" s="44">
        <f t="shared" si="6"/>
        <v>0</v>
      </c>
      <c r="G96" s="45" t="s">
        <v>86</v>
      </c>
      <c r="H96" s="46">
        <f t="shared" si="7"/>
        <v>0</v>
      </c>
      <c r="I96" s="46">
        <f t="shared" si="8"/>
        <v>0</v>
      </c>
      <c r="J96" s="43"/>
      <c r="K96" s="41"/>
    </row>
    <row r="97" spans="1:11" ht="16.5" customHeight="1" x14ac:dyDescent="0.25">
      <c r="A97" s="39">
        <v>94</v>
      </c>
      <c r="B97" s="40"/>
      <c r="C97" s="41"/>
      <c r="D97" s="42"/>
      <c r="E97" s="43"/>
      <c r="F97" s="47">
        <f t="shared" si="6"/>
        <v>0</v>
      </c>
      <c r="G97" s="45" t="s">
        <v>86</v>
      </c>
      <c r="H97" s="46">
        <f t="shared" si="7"/>
        <v>0</v>
      </c>
      <c r="I97" s="46">
        <f t="shared" si="8"/>
        <v>0</v>
      </c>
      <c r="J97" s="43"/>
      <c r="K97" s="41"/>
    </row>
    <row r="98" spans="1:11" ht="16.5" customHeight="1" x14ac:dyDescent="0.25">
      <c r="A98" s="39">
        <v>95</v>
      </c>
      <c r="B98" s="40"/>
      <c r="C98" s="41"/>
      <c r="D98" s="42"/>
      <c r="E98" s="43"/>
      <c r="F98" s="44">
        <f t="shared" si="6"/>
        <v>0</v>
      </c>
      <c r="G98" s="45" t="s">
        <v>86</v>
      </c>
      <c r="H98" s="46">
        <f t="shared" si="7"/>
        <v>0</v>
      </c>
      <c r="I98" s="46">
        <f t="shared" si="8"/>
        <v>0</v>
      </c>
      <c r="J98" s="43"/>
      <c r="K98" s="41"/>
    </row>
    <row r="99" spans="1:11" ht="16.5" customHeight="1" x14ac:dyDescent="0.25">
      <c r="A99" s="39">
        <v>96</v>
      </c>
      <c r="B99" s="40"/>
      <c r="C99" s="41"/>
      <c r="D99" s="42"/>
      <c r="E99" s="43"/>
      <c r="F99" s="47">
        <f t="shared" si="6"/>
        <v>0</v>
      </c>
      <c r="G99" s="45" t="s">
        <v>86</v>
      </c>
      <c r="H99" s="46">
        <f t="shared" si="7"/>
        <v>0</v>
      </c>
      <c r="I99" s="46">
        <f t="shared" si="8"/>
        <v>0</v>
      </c>
      <c r="J99" s="43"/>
      <c r="K99" s="41"/>
    </row>
    <row r="100" spans="1:11" ht="16.5" customHeight="1" x14ac:dyDescent="0.25">
      <c r="A100" s="39">
        <v>97</v>
      </c>
      <c r="B100" s="40"/>
      <c r="C100" s="41"/>
      <c r="D100" s="42"/>
      <c r="E100" s="43"/>
      <c r="F100" s="44">
        <f t="shared" ref="F100:F131" si="9">IF(ISNUMBER(E100),E100,0)</f>
        <v>0</v>
      </c>
      <c r="G100" s="45" t="s">
        <v>86</v>
      </c>
      <c r="H100" s="46">
        <f t="shared" ref="H100:H131" si="10">IF(ISNUMBER(E100),ROUND(E100*IF(G100="20%",0.2,IF(G100="5%",0.05,0)),2),0)</f>
        <v>0</v>
      </c>
      <c r="I100" s="46">
        <f t="shared" ref="I100:I131" si="11">IF(ISNUMBER(E100),E100+H100,0)</f>
        <v>0</v>
      </c>
      <c r="J100" s="43"/>
      <c r="K100" s="41"/>
    </row>
    <row r="101" spans="1:11" ht="16.5" customHeight="1" x14ac:dyDescent="0.25">
      <c r="A101" s="39">
        <v>98</v>
      </c>
      <c r="B101" s="40"/>
      <c r="C101" s="41"/>
      <c r="D101" s="42"/>
      <c r="E101" s="43"/>
      <c r="F101" s="47">
        <f t="shared" si="9"/>
        <v>0</v>
      </c>
      <c r="G101" s="45" t="s">
        <v>86</v>
      </c>
      <c r="H101" s="46">
        <f t="shared" si="10"/>
        <v>0</v>
      </c>
      <c r="I101" s="46">
        <f t="shared" si="11"/>
        <v>0</v>
      </c>
      <c r="J101" s="43"/>
      <c r="K101" s="41"/>
    </row>
    <row r="102" spans="1:11" ht="16.5" customHeight="1" x14ac:dyDescent="0.25">
      <c r="A102" s="39">
        <v>99</v>
      </c>
      <c r="B102" s="40"/>
      <c r="C102" s="41"/>
      <c r="D102" s="42"/>
      <c r="E102" s="43"/>
      <c r="F102" s="44">
        <f t="shared" si="9"/>
        <v>0</v>
      </c>
      <c r="G102" s="45" t="s">
        <v>86</v>
      </c>
      <c r="H102" s="46">
        <f t="shared" si="10"/>
        <v>0</v>
      </c>
      <c r="I102" s="46">
        <f t="shared" si="11"/>
        <v>0</v>
      </c>
      <c r="J102" s="43"/>
      <c r="K102" s="41"/>
    </row>
    <row r="103" spans="1:11" ht="16.5" customHeight="1" x14ac:dyDescent="0.25">
      <c r="A103" s="39">
        <v>100</v>
      </c>
      <c r="B103" s="40"/>
      <c r="C103" s="41"/>
      <c r="D103" s="42"/>
      <c r="E103" s="43"/>
      <c r="F103" s="47">
        <f t="shared" si="9"/>
        <v>0</v>
      </c>
      <c r="G103" s="45" t="s">
        <v>86</v>
      </c>
      <c r="H103" s="46">
        <f t="shared" si="10"/>
        <v>0</v>
      </c>
      <c r="I103" s="46">
        <f t="shared" si="11"/>
        <v>0</v>
      </c>
      <c r="J103" s="43"/>
      <c r="K103" s="41"/>
    </row>
    <row r="104" spans="1:11" ht="16.5" customHeight="1" x14ac:dyDescent="0.25">
      <c r="A104" s="39">
        <v>101</v>
      </c>
      <c r="B104" s="40"/>
      <c r="C104" s="41"/>
      <c r="D104" s="42"/>
      <c r="E104" s="43"/>
      <c r="F104" s="44">
        <f t="shared" si="9"/>
        <v>0</v>
      </c>
      <c r="G104" s="45" t="s">
        <v>86</v>
      </c>
      <c r="H104" s="46">
        <f t="shared" si="10"/>
        <v>0</v>
      </c>
      <c r="I104" s="46">
        <f t="shared" si="11"/>
        <v>0</v>
      </c>
      <c r="J104" s="43"/>
      <c r="K104" s="41"/>
    </row>
    <row r="105" spans="1:11" ht="16.5" customHeight="1" x14ac:dyDescent="0.25">
      <c r="A105" s="39">
        <v>102</v>
      </c>
      <c r="B105" s="40"/>
      <c r="C105" s="41"/>
      <c r="D105" s="42"/>
      <c r="E105" s="43"/>
      <c r="F105" s="47">
        <f t="shared" si="9"/>
        <v>0</v>
      </c>
      <c r="G105" s="45" t="s">
        <v>86</v>
      </c>
      <c r="H105" s="46">
        <f t="shared" si="10"/>
        <v>0</v>
      </c>
      <c r="I105" s="46">
        <f t="shared" si="11"/>
        <v>0</v>
      </c>
      <c r="J105" s="43"/>
      <c r="K105" s="41"/>
    </row>
    <row r="106" spans="1:11" ht="16.5" customHeight="1" x14ac:dyDescent="0.25">
      <c r="A106" s="39">
        <v>103</v>
      </c>
      <c r="B106" s="40"/>
      <c r="C106" s="41"/>
      <c r="D106" s="42"/>
      <c r="E106" s="43"/>
      <c r="F106" s="44">
        <f t="shared" si="9"/>
        <v>0</v>
      </c>
      <c r="G106" s="45" t="s">
        <v>86</v>
      </c>
      <c r="H106" s="46">
        <f t="shared" si="10"/>
        <v>0</v>
      </c>
      <c r="I106" s="46">
        <f t="shared" si="11"/>
        <v>0</v>
      </c>
      <c r="J106" s="43"/>
      <c r="K106" s="41"/>
    </row>
    <row r="107" spans="1:11" ht="16.5" customHeight="1" x14ac:dyDescent="0.25">
      <c r="A107" s="39">
        <v>104</v>
      </c>
      <c r="B107" s="40"/>
      <c r="C107" s="41"/>
      <c r="D107" s="42"/>
      <c r="E107" s="43"/>
      <c r="F107" s="47">
        <f t="shared" si="9"/>
        <v>0</v>
      </c>
      <c r="G107" s="45" t="s">
        <v>86</v>
      </c>
      <c r="H107" s="46">
        <f t="shared" si="10"/>
        <v>0</v>
      </c>
      <c r="I107" s="46">
        <f t="shared" si="11"/>
        <v>0</v>
      </c>
      <c r="J107" s="43"/>
      <c r="K107" s="41"/>
    </row>
    <row r="108" spans="1:11" ht="16.5" customHeight="1" x14ac:dyDescent="0.25">
      <c r="A108" s="39">
        <v>105</v>
      </c>
      <c r="B108" s="40"/>
      <c r="C108" s="41"/>
      <c r="D108" s="42"/>
      <c r="E108" s="43"/>
      <c r="F108" s="44">
        <f t="shared" si="9"/>
        <v>0</v>
      </c>
      <c r="G108" s="45" t="s">
        <v>86</v>
      </c>
      <c r="H108" s="46">
        <f t="shared" si="10"/>
        <v>0</v>
      </c>
      <c r="I108" s="46">
        <f t="shared" si="11"/>
        <v>0</v>
      </c>
      <c r="J108" s="43"/>
      <c r="K108" s="41"/>
    </row>
    <row r="109" spans="1:11" ht="16.5" customHeight="1" x14ac:dyDescent="0.25">
      <c r="A109" s="39">
        <v>106</v>
      </c>
      <c r="B109" s="40"/>
      <c r="C109" s="41"/>
      <c r="D109" s="42"/>
      <c r="E109" s="43"/>
      <c r="F109" s="47">
        <f t="shared" si="9"/>
        <v>0</v>
      </c>
      <c r="G109" s="45" t="s">
        <v>86</v>
      </c>
      <c r="H109" s="46">
        <f t="shared" si="10"/>
        <v>0</v>
      </c>
      <c r="I109" s="46">
        <f t="shared" si="11"/>
        <v>0</v>
      </c>
      <c r="J109" s="43"/>
      <c r="K109" s="41"/>
    </row>
    <row r="110" spans="1:11" ht="16.5" customHeight="1" x14ac:dyDescent="0.25">
      <c r="A110" s="39">
        <v>107</v>
      </c>
      <c r="B110" s="40"/>
      <c r="C110" s="41"/>
      <c r="D110" s="42"/>
      <c r="E110" s="43"/>
      <c r="F110" s="44">
        <f t="shared" si="9"/>
        <v>0</v>
      </c>
      <c r="G110" s="45" t="s">
        <v>86</v>
      </c>
      <c r="H110" s="46">
        <f t="shared" si="10"/>
        <v>0</v>
      </c>
      <c r="I110" s="46">
        <f t="shared" si="11"/>
        <v>0</v>
      </c>
      <c r="J110" s="43"/>
      <c r="K110" s="41"/>
    </row>
    <row r="111" spans="1:11" ht="16.5" customHeight="1" x14ac:dyDescent="0.25">
      <c r="A111" s="39">
        <v>108</v>
      </c>
      <c r="B111" s="40"/>
      <c r="C111" s="41"/>
      <c r="D111" s="42"/>
      <c r="E111" s="43"/>
      <c r="F111" s="47">
        <f t="shared" si="9"/>
        <v>0</v>
      </c>
      <c r="G111" s="45" t="s">
        <v>86</v>
      </c>
      <c r="H111" s="46">
        <f t="shared" si="10"/>
        <v>0</v>
      </c>
      <c r="I111" s="46">
        <f t="shared" si="11"/>
        <v>0</v>
      </c>
      <c r="J111" s="43"/>
      <c r="K111" s="41"/>
    </row>
    <row r="112" spans="1:11" ht="16.5" customHeight="1" x14ac:dyDescent="0.25">
      <c r="A112" s="39">
        <v>109</v>
      </c>
      <c r="B112" s="40"/>
      <c r="C112" s="41"/>
      <c r="D112" s="42"/>
      <c r="E112" s="43"/>
      <c r="F112" s="44">
        <f t="shared" si="9"/>
        <v>0</v>
      </c>
      <c r="G112" s="45" t="s">
        <v>86</v>
      </c>
      <c r="H112" s="46">
        <f t="shared" si="10"/>
        <v>0</v>
      </c>
      <c r="I112" s="46">
        <f t="shared" si="11"/>
        <v>0</v>
      </c>
      <c r="J112" s="43"/>
      <c r="K112" s="41"/>
    </row>
    <row r="113" spans="1:11" ht="16.5" customHeight="1" x14ac:dyDescent="0.25">
      <c r="A113" s="39">
        <v>110</v>
      </c>
      <c r="B113" s="40"/>
      <c r="C113" s="41"/>
      <c r="D113" s="42"/>
      <c r="E113" s="43"/>
      <c r="F113" s="47">
        <f t="shared" si="9"/>
        <v>0</v>
      </c>
      <c r="G113" s="45" t="s">
        <v>86</v>
      </c>
      <c r="H113" s="46">
        <f t="shared" si="10"/>
        <v>0</v>
      </c>
      <c r="I113" s="46">
        <f t="shared" si="11"/>
        <v>0</v>
      </c>
      <c r="J113" s="43"/>
      <c r="K113" s="41"/>
    </row>
    <row r="114" spans="1:11" ht="16.5" customHeight="1" x14ac:dyDescent="0.25">
      <c r="A114" s="39">
        <v>111</v>
      </c>
      <c r="B114" s="40"/>
      <c r="C114" s="41"/>
      <c r="D114" s="42"/>
      <c r="E114" s="43"/>
      <c r="F114" s="44">
        <f t="shared" si="9"/>
        <v>0</v>
      </c>
      <c r="G114" s="45" t="s">
        <v>86</v>
      </c>
      <c r="H114" s="46">
        <f t="shared" si="10"/>
        <v>0</v>
      </c>
      <c r="I114" s="46">
        <f t="shared" si="11"/>
        <v>0</v>
      </c>
      <c r="J114" s="43"/>
      <c r="K114" s="41"/>
    </row>
    <row r="115" spans="1:11" ht="16.5" customHeight="1" x14ac:dyDescent="0.25">
      <c r="A115" s="39">
        <v>112</v>
      </c>
      <c r="B115" s="40"/>
      <c r="C115" s="41"/>
      <c r="D115" s="42"/>
      <c r="E115" s="43"/>
      <c r="F115" s="47">
        <f t="shared" si="9"/>
        <v>0</v>
      </c>
      <c r="G115" s="45" t="s">
        <v>86</v>
      </c>
      <c r="H115" s="46">
        <f t="shared" si="10"/>
        <v>0</v>
      </c>
      <c r="I115" s="46">
        <f t="shared" si="11"/>
        <v>0</v>
      </c>
      <c r="J115" s="43"/>
      <c r="K115" s="41"/>
    </row>
    <row r="116" spans="1:11" ht="16.5" customHeight="1" x14ac:dyDescent="0.25">
      <c r="A116" s="39">
        <v>113</v>
      </c>
      <c r="B116" s="40"/>
      <c r="C116" s="41"/>
      <c r="D116" s="42"/>
      <c r="E116" s="43"/>
      <c r="F116" s="44">
        <f t="shared" si="9"/>
        <v>0</v>
      </c>
      <c r="G116" s="45" t="s">
        <v>86</v>
      </c>
      <c r="H116" s="46">
        <f t="shared" si="10"/>
        <v>0</v>
      </c>
      <c r="I116" s="46">
        <f t="shared" si="11"/>
        <v>0</v>
      </c>
      <c r="J116" s="43"/>
      <c r="K116" s="41"/>
    </row>
    <row r="117" spans="1:11" ht="16.5" customHeight="1" x14ac:dyDescent="0.25">
      <c r="A117" s="39">
        <v>114</v>
      </c>
      <c r="B117" s="40"/>
      <c r="C117" s="41"/>
      <c r="D117" s="42"/>
      <c r="E117" s="43"/>
      <c r="F117" s="47">
        <f t="shared" si="9"/>
        <v>0</v>
      </c>
      <c r="G117" s="45" t="s">
        <v>86</v>
      </c>
      <c r="H117" s="46">
        <f t="shared" si="10"/>
        <v>0</v>
      </c>
      <c r="I117" s="46">
        <f t="shared" si="11"/>
        <v>0</v>
      </c>
      <c r="J117" s="43"/>
      <c r="K117" s="41"/>
    </row>
    <row r="118" spans="1:11" ht="16.5" customHeight="1" x14ac:dyDescent="0.25">
      <c r="A118" s="39">
        <v>115</v>
      </c>
      <c r="B118" s="40"/>
      <c r="C118" s="41"/>
      <c r="D118" s="42"/>
      <c r="E118" s="43"/>
      <c r="F118" s="44">
        <f t="shared" si="9"/>
        <v>0</v>
      </c>
      <c r="G118" s="45" t="s">
        <v>86</v>
      </c>
      <c r="H118" s="46">
        <f t="shared" si="10"/>
        <v>0</v>
      </c>
      <c r="I118" s="46">
        <f t="shared" si="11"/>
        <v>0</v>
      </c>
      <c r="J118" s="43"/>
      <c r="K118" s="41"/>
    </row>
    <row r="119" spans="1:11" ht="16.5" customHeight="1" x14ac:dyDescent="0.25">
      <c r="A119" s="39">
        <v>116</v>
      </c>
      <c r="B119" s="40"/>
      <c r="C119" s="41"/>
      <c r="D119" s="42"/>
      <c r="E119" s="43"/>
      <c r="F119" s="47">
        <f t="shared" si="9"/>
        <v>0</v>
      </c>
      <c r="G119" s="45" t="s">
        <v>86</v>
      </c>
      <c r="H119" s="46">
        <f t="shared" si="10"/>
        <v>0</v>
      </c>
      <c r="I119" s="46">
        <f t="shared" si="11"/>
        <v>0</v>
      </c>
      <c r="J119" s="43"/>
      <c r="K119" s="41"/>
    </row>
    <row r="120" spans="1:11" ht="16.5" customHeight="1" x14ac:dyDescent="0.25">
      <c r="A120" s="39">
        <v>117</v>
      </c>
      <c r="B120" s="40"/>
      <c r="C120" s="41"/>
      <c r="D120" s="42"/>
      <c r="E120" s="43"/>
      <c r="F120" s="44">
        <f t="shared" si="9"/>
        <v>0</v>
      </c>
      <c r="G120" s="45" t="s">
        <v>86</v>
      </c>
      <c r="H120" s="46">
        <f t="shared" si="10"/>
        <v>0</v>
      </c>
      <c r="I120" s="46">
        <f t="shared" si="11"/>
        <v>0</v>
      </c>
      <c r="J120" s="43"/>
      <c r="K120" s="41"/>
    </row>
    <row r="121" spans="1:11" ht="16.5" customHeight="1" x14ac:dyDescent="0.25">
      <c r="A121" s="39">
        <v>118</v>
      </c>
      <c r="B121" s="40"/>
      <c r="C121" s="41"/>
      <c r="D121" s="42"/>
      <c r="E121" s="43"/>
      <c r="F121" s="47">
        <f t="shared" si="9"/>
        <v>0</v>
      </c>
      <c r="G121" s="45" t="s">
        <v>86</v>
      </c>
      <c r="H121" s="46">
        <f t="shared" si="10"/>
        <v>0</v>
      </c>
      <c r="I121" s="46">
        <f t="shared" si="11"/>
        <v>0</v>
      </c>
      <c r="J121" s="43"/>
      <c r="K121" s="41"/>
    </row>
    <row r="122" spans="1:11" ht="16.5" customHeight="1" x14ac:dyDescent="0.25">
      <c r="A122" s="39">
        <v>119</v>
      </c>
      <c r="B122" s="40"/>
      <c r="C122" s="41"/>
      <c r="D122" s="42"/>
      <c r="E122" s="43"/>
      <c r="F122" s="44">
        <f t="shared" si="9"/>
        <v>0</v>
      </c>
      <c r="G122" s="45" t="s">
        <v>86</v>
      </c>
      <c r="H122" s="46">
        <f t="shared" si="10"/>
        <v>0</v>
      </c>
      <c r="I122" s="46">
        <f t="shared" si="11"/>
        <v>0</v>
      </c>
      <c r="J122" s="43"/>
      <c r="K122" s="41"/>
    </row>
    <row r="123" spans="1:11" ht="16.5" customHeight="1" x14ac:dyDescent="0.25">
      <c r="A123" s="39">
        <v>120</v>
      </c>
      <c r="B123" s="40"/>
      <c r="C123" s="41"/>
      <c r="D123" s="42"/>
      <c r="E123" s="43"/>
      <c r="F123" s="47">
        <f t="shared" si="9"/>
        <v>0</v>
      </c>
      <c r="G123" s="45" t="s">
        <v>86</v>
      </c>
      <c r="H123" s="46">
        <f t="shared" si="10"/>
        <v>0</v>
      </c>
      <c r="I123" s="46">
        <f t="shared" si="11"/>
        <v>0</v>
      </c>
      <c r="J123" s="43"/>
      <c r="K123" s="41"/>
    </row>
    <row r="124" spans="1:11" ht="16.5" customHeight="1" x14ac:dyDescent="0.25">
      <c r="A124" s="39">
        <v>121</v>
      </c>
      <c r="B124" s="40"/>
      <c r="C124" s="41"/>
      <c r="D124" s="42"/>
      <c r="E124" s="43"/>
      <c r="F124" s="44">
        <f t="shared" si="9"/>
        <v>0</v>
      </c>
      <c r="G124" s="45" t="s">
        <v>86</v>
      </c>
      <c r="H124" s="46">
        <f t="shared" si="10"/>
        <v>0</v>
      </c>
      <c r="I124" s="46">
        <f t="shared" si="11"/>
        <v>0</v>
      </c>
      <c r="J124" s="43"/>
      <c r="K124" s="41"/>
    </row>
    <row r="125" spans="1:11" ht="16.5" customHeight="1" x14ac:dyDescent="0.25">
      <c r="A125" s="39">
        <v>122</v>
      </c>
      <c r="B125" s="40"/>
      <c r="C125" s="41"/>
      <c r="D125" s="42"/>
      <c r="E125" s="43"/>
      <c r="F125" s="47">
        <f t="shared" si="9"/>
        <v>0</v>
      </c>
      <c r="G125" s="45" t="s">
        <v>86</v>
      </c>
      <c r="H125" s="46">
        <f t="shared" si="10"/>
        <v>0</v>
      </c>
      <c r="I125" s="46">
        <f t="shared" si="11"/>
        <v>0</v>
      </c>
      <c r="J125" s="43"/>
      <c r="K125" s="41"/>
    </row>
    <row r="126" spans="1:11" ht="16.5" customHeight="1" x14ac:dyDescent="0.25">
      <c r="A126" s="39">
        <v>123</v>
      </c>
      <c r="B126" s="40"/>
      <c r="C126" s="41"/>
      <c r="D126" s="42"/>
      <c r="E126" s="43"/>
      <c r="F126" s="44">
        <f t="shared" si="9"/>
        <v>0</v>
      </c>
      <c r="G126" s="45" t="s">
        <v>86</v>
      </c>
      <c r="H126" s="46">
        <f t="shared" si="10"/>
        <v>0</v>
      </c>
      <c r="I126" s="46">
        <f t="shared" si="11"/>
        <v>0</v>
      </c>
      <c r="J126" s="43"/>
      <c r="K126" s="41"/>
    </row>
    <row r="127" spans="1:11" ht="16.5" customHeight="1" x14ac:dyDescent="0.25">
      <c r="A127" s="39">
        <v>124</v>
      </c>
      <c r="B127" s="40"/>
      <c r="C127" s="41"/>
      <c r="D127" s="42"/>
      <c r="E127" s="43"/>
      <c r="F127" s="47">
        <f t="shared" si="9"/>
        <v>0</v>
      </c>
      <c r="G127" s="45" t="s">
        <v>86</v>
      </c>
      <c r="H127" s="46">
        <f t="shared" si="10"/>
        <v>0</v>
      </c>
      <c r="I127" s="46">
        <f t="shared" si="11"/>
        <v>0</v>
      </c>
      <c r="J127" s="43"/>
      <c r="K127" s="41"/>
    </row>
    <row r="128" spans="1:11" ht="16.5" customHeight="1" x14ac:dyDescent="0.25">
      <c r="A128" s="39">
        <v>125</v>
      </c>
      <c r="B128" s="40"/>
      <c r="C128" s="41"/>
      <c r="D128" s="42"/>
      <c r="E128" s="43"/>
      <c r="F128" s="44">
        <f t="shared" si="9"/>
        <v>0</v>
      </c>
      <c r="G128" s="45" t="s">
        <v>86</v>
      </c>
      <c r="H128" s="46">
        <f t="shared" si="10"/>
        <v>0</v>
      </c>
      <c r="I128" s="46">
        <f t="shared" si="11"/>
        <v>0</v>
      </c>
      <c r="J128" s="43"/>
      <c r="K128" s="41"/>
    </row>
    <row r="129" spans="1:11" ht="16.5" customHeight="1" x14ac:dyDescent="0.25">
      <c r="A129" s="39">
        <v>126</v>
      </c>
      <c r="B129" s="40"/>
      <c r="C129" s="41"/>
      <c r="D129" s="42"/>
      <c r="E129" s="43"/>
      <c r="F129" s="47">
        <f t="shared" si="9"/>
        <v>0</v>
      </c>
      <c r="G129" s="45" t="s">
        <v>86</v>
      </c>
      <c r="H129" s="46">
        <f t="shared" si="10"/>
        <v>0</v>
      </c>
      <c r="I129" s="46">
        <f t="shared" si="11"/>
        <v>0</v>
      </c>
      <c r="J129" s="43"/>
      <c r="K129" s="41"/>
    </row>
    <row r="130" spans="1:11" ht="16.5" customHeight="1" x14ac:dyDescent="0.25">
      <c r="A130" s="39">
        <v>127</v>
      </c>
      <c r="B130" s="40"/>
      <c r="C130" s="41"/>
      <c r="D130" s="42"/>
      <c r="E130" s="43"/>
      <c r="F130" s="44">
        <f t="shared" si="9"/>
        <v>0</v>
      </c>
      <c r="G130" s="45" t="s">
        <v>86</v>
      </c>
      <c r="H130" s="46">
        <f t="shared" si="10"/>
        <v>0</v>
      </c>
      <c r="I130" s="46">
        <f t="shared" si="11"/>
        <v>0</v>
      </c>
      <c r="J130" s="43"/>
      <c r="K130" s="41"/>
    </row>
    <row r="131" spans="1:11" ht="16.5" customHeight="1" x14ac:dyDescent="0.25">
      <c r="A131" s="39">
        <v>128</v>
      </c>
      <c r="B131" s="40"/>
      <c r="C131" s="41"/>
      <c r="D131" s="42"/>
      <c r="E131" s="43"/>
      <c r="F131" s="47">
        <f t="shared" si="9"/>
        <v>0</v>
      </c>
      <c r="G131" s="45" t="s">
        <v>86</v>
      </c>
      <c r="H131" s="46">
        <f t="shared" si="10"/>
        <v>0</v>
      </c>
      <c r="I131" s="46">
        <f t="shared" si="11"/>
        <v>0</v>
      </c>
      <c r="J131" s="43"/>
      <c r="K131" s="41"/>
    </row>
    <row r="132" spans="1:11" ht="16.5" customHeight="1" x14ac:dyDescent="0.25">
      <c r="A132" s="39">
        <v>129</v>
      </c>
      <c r="B132" s="40"/>
      <c r="C132" s="41"/>
      <c r="D132" s="42"/>
      <c r="E132" s="43"/>
      <c r="F132" s="44">
        <f t="shared" ref="F132:F163" si="12">IF(ISNUMBER(E132),E132,0)</f>
        <v>0</v>
      </c>
      <c r="G132" s="45" t="s">
        <v>86</v>
      </c>
      <c r="H132" s="46">
        <f t="shared" ref="H132:H163" si="13">IF(ISNUMBER(E132),ROUND(E132*IF(G132="20%",0.2,IF(G132="5%",0.05,0)),2),0)</f>
        <v>0</v>
      </c>
      <c r="I132" s="46">
        <f t="shared" ref="I132:I163" si="14">IF(ISNUMBER(E132),E132+H132,0)</f>
        <v>0</v>
      </c>
      <c r="J132" s="43"/>
      <c r="K132" s="41"/>
    </row>
    <row r="133" spans="1:11" ht="16.5" customHeight="1" x14ac:dyDescent="0.25">
      <c r="A133" s="39">
        <v>130</v>
      </c>
      <c r="B133" s="40"/>
      <c r="C133" s="41"/>
      <c r="D133" s="42"/>
      <c r="E133" s="43"/>
      <c r="F133" s="47">
        <f t="shared" si="12"/>
        <v>0</v>
      </c>
      <c r="G133" s="45" t="s">
        <v>86</v>
      </c>
      <c r="H133" s="46">
        <f t="shared" si="13"/>
        <v>0</v>
      </c>
      <c r="I133" s="46">
        <f t="shared" si="14"/>
        <v>0</v>
      </c>
      <c r="J133" s="43"/>
      <c r="K133" s="41"/>
    </row>
    <row r="134" spans="1:11" ht="16.5" customHeight="1" x14ac:dyDescent="0.25">
      <c r="A134" s="39">
        <v>131</v>
      </c>
      <c r="B134" s="40"/>
      <c r="C134" s="41"/>
      <c r="D134" s="42"/>
      <c r="E134" s="43"/>
      <c r="F134" s="44">
        <f t="shared" si="12"/>
        <v>0</v>
      </c>
      <c r="G134" s="45" t="s">
        <v>86</v>
      </c>
      <c r="H134" s="46">
        <f t="shared" si="13"/>
        <v>0</v>
      </c>
      <c r="I134" s="46">
        <f t="shared" si="14"/>
        <v>0</v>
      </c>
      <c r="J134" s="43"/>
      <c r="K134" s="41"/>
    </row>
    <row r="135" spans="1:11" ht="16.5" customHeight="1" x14ac:dyDescent="0.25">
      <c r="A135" s="39">
        <v>132</v>
      </c>
      <c r="B135" s="40"/>
      <c r="C135" s="41"/>
      <c r="D135" s="42"/>
      <c r="E135" s="43"/>
      <c r="F135" s="47">
        <f t="shared" si="12"/>
        <v>0</v>
      </c>
      <c r="G135" s="45" t="s">
        <v>86</v>
      </c>
      <c r="H135" s="46">
        <f t="shared" si="13"/>
        <v>0</v>
      </c>
      <c r="I135" s="46">
        <f t="shared" si="14"/>
        <v>0</v>
      </c>
      <c r="J135" s="43"/>
      <c r="K135" s="41"/>
    </row>
    <row r="136" spans="1:11" ht="16.5" customHeight="1" x14ac:dyDescent="0.25">
      <c r="A136" s="39">
        <v>133</v>
      </c>
      <c r="B136" s="40"/>
      <c r="C136" s="41"/>
      <c r="D136" s="42"/>
      <c r="E136" s="43"/>
      <c r="F136" s="44">
        <f t="shared" si="12"/>
        <v>0</v>
      </c>
      <c r="G136" s="45" t="s">
        <v>86</v>
      </c>
      <c r="H136" s="46">
        <f t="shared" si="13"/>
        <v>0</v>
      </c>
      <c r="I136" s="46">
        <f t="shared" si="14"/>
        <v>0</v>
      </c>
      <c r="J136" s="43"/>
      <c r="K136" s="41"/>
    </row>
    <row r="137" spans="1:11" ht="16.5" customHeight="1" x14ac:dyDescent="0.25">
      <c r="A137" s="39">
        <v>134</v>
      </c>
      <c r="B137" s="40"/>
      <c r="C137" s="41"/>
      <c r="D137" s="42"/>
      <c r="E137" s="43"/>
      <c r="F137" s="47">
        <f t="shared" si="12"/>
        <v>0</v>
      </c>
      <c r="G137" s="45" t="s">
        <v>86</v>
      </c>
      <c r="H137" s="46">
        <f t="shared" si="13"/>
        <v>0</v>
      </c>
      <c r="I137" s="46">
        <f t="shared" si="14"/>
        <v>0</v>
      </c>
      <c r="J137" s="43"/>
      <c r="K137" s="41"/>
    </row>
    <row r="138" spans="1:11" ht="16.5" customHeight="1" x14ac:dyDescent="0.25">
      <c r="A138" s="39">
        <v>135</v>
      </c>
      <c r="B138" s="40"/>
      <c r="C138" s="41"/>
      <c r="D138" s="42"/>
      <c r="E138" s="43"/>
      <c r="F138" s="44">
        <f t="shared" si="12"/>
        <v>0</v>
      </c>
      <c r="G138" s="45" t="s">
        <v>86</v>
      </c>
      <c r="H138" s="46">
        <f t="shared" si="13"/>
        <v>0</v>
      </c>
      <c r="I138" s="46">
        <f t="shared" si="14"/>
        <v>0</v>
      </c>
      <c r="J138" s="43"/>
      <c r="K138" s="41"/>
    </row>
    <row r="139" spans="1:11" ht="16.5" customHeight="1" x14ac:dyDescent="0.25">
      <c r="A139" s="39">
        <v>136</v>
      </c>
      <c r="B139" s="40"/>
      <c r="C139" s="41"/>
      <c r="D139" s="42"/>
      <c r="E139" s="43"/>
      <c r="F139" s="47">
        <f t="shared" si="12"/>
        <v>0</v>
      </c>
      <c r="G139" s="45" t="s">
        <v>86</v>
      </c>
      <c r="H139" s="46">
        <f t="shared" si="13"/>
        <v>0</v>
      </c>
      <c r="I139" s="46">
        <f t="shared" si="14"/>
        <v>0</v>
      </c>
      <c r="J139" s="43"/>
      <c r="K139" s="41"/>
    </row>
    <row r="140" spans="1:11" ht="16.5" customHeight="1" x14ac:dyDescent="0.25">
      <c r="A140" s="39">
        <v>137</v>
      </c>
      <c r="B140" s="40"/>
      <c r="C140" s="41"/>
      <c r="D140" s="42"/>
      <c r="E140" s="43"/>
      <c r="F140" s="44">
        <f t="shared" si="12"/>
        <v>0</v>
      </c>
      <c r="G140" s="45" t="s">
        <v>86</v>
      </c>
      <c r="H140" s="46">
        <f t="shared" si="13"/>
        <v>0</v>
      </c>
      <c r="I140" s="46">
        <f t="shared" si="14"/>
        <v>0</v>
      </c>
      <c r="J140" s="43"/>
      <c r="K140" s="41"/>
    </row>
    <row r="141" spans="1:11" ht="16.5" customHeight="1" x14ac:dyDescent="0.25">
      <c r="A141" s="39">
        <v>138</v>
      </c>
      <c r="B141" s="40"/>
      <c r="C141" s="41"/>
      <c r="D141" s="42"/>
      <c r="E141" s="43"/>
      <c r="F141" s="47">
        <f t="shared" si="12"/>
        <v>0</v>
      </c>
      <c r="G141" s="45" t="s">
        <v>86</v>
      </c>
      <c r="H141" s="46">
        <f t="shared" si="13"/>
        <v>0</v>
      </c>
      <c r="I141" s="46">
        <f t="shared" si="14"/>
        <v>0</v>
      </c>
      <c r="J141" s="43"/>
      <c r="K141" s="41"/>
    </row>
    <row r="142" spans="1:11" ht="16.5" customHeight="1" x14ac:dyDescent="0.25">
      <c r="A142" s="39">
        <v>139</v>
      </c>
      <c r="B142" s="40"/>
      <c r="C142" s="41"/>
      <c r="D142" s="42"/>
      <c r="E142" s="43"/>
      <c r="F142" s="44">
        <f t="shared" si="12"/>
        <v>0</v>
      </c>
      <c r="G142" s="45" t="s">
        <v>86</v>
      </c>
      <c r="H142" s="46">
        <f t="shared" si="13"/>
        <v>0</v>
      </c>
      <c r="I142" s="46">
        <f t="shared" si="14"/>
        <v>0</v>
      </c>
      <c r="J142" s="43"/>
      <c r="K142" s="41"/>
    </row>
    <row r="143" spans="1:11" ht="16.5" customHeight="1" x14ac:dyDescent="0.25">
      <c r="A143" s="39">
        <v>140</v>
      </c>
      <c r="B143" s="40"/>
      <c r="C143" s="41"/>
      <c r="D143" s="42"/>
      <c r="E143" s="43"/>
      <c r="F143" s="47">
        <f t="shared" si="12"/>
        <v>0</v>
      </c>
      <c r="G143" s="45" t="s">
        <v>86</v>
      </c>
      <c r="H143" s="46">
        <f t="shared" si="13"/>
        <v>0</v>
      </c>
      <c r="I143" s="46">
        <f t="shared" si="14"/>
        <v>0</v>
      </c>
      <c r="J143" s="43"/>
      <c r="K143" s="41"/>
    </row>
    <row r="144" spans="1:11" ht="16.5" customHeight="1" x14ac:dyDescent="0.25">
      <c r="A144" s="39">
        <v>141</v>
      </c>
      <c r="B144" s="40"/>
      <c r="C144" s="41"/>
      <c r="D144" s="42"/>
      <c r="E144" s="43"/>
      <c r="F144" s="44">
        <f t="shared" si="12"/>
        <v>0</v>
      </c>
      <c r="G144" s="45" t="s">
        <v>86</v>
      </c>
      <c r="H144" s="46">
        <f t="shared" si="13"/>
        <v>0</v>
      </c>
      <c r="I144" s="46">
        <f t="shared" si="14"/>
        <v>0</v>
      </c>
      <c r="J144" s="43"/>
      <c r="K144" s="41"/>
    </row>
    <row r="145" spans="1:11" ht="16.5" customHeight="1" x14ac:dyDescent="0.25">
      <c r="A145" s="39">
        <v>142</v>
      </c>
      <c r="B145" s="40"/>
      <c r="C145" s="41"/>
      <c r="D145" s="42"/>
      <c r="E145" s="43"/>
      <c r="F145" s="47">
        <f t="shared" si="12"/>
        <v>0</v>
      </c>
      <c r="G145" s="45" t="s">
        <v>86</v>
      </c>
      <c r="H145" s="46">
        <f t="shared" si="13"/>
        <v>0</v>
      </c>
      <c r="I145" s="46">
        <f t="shared" si="14"/>
        <v>0</v>
      </c>
      <c r="J145" s="43"/>
      <c r="K145" s="41"/>
    </row>
    <row r="146" spans="1:11" ht="16.5" customHeight="1" x14ac:dyDescent="0.25">
      <c r="A146" s="39">
        <v>143</v>
      </c>
      <c r="B146" s="40"/>
      <c r="C146" s="41"/>
      <c r="D146" s="42"/>
      <c r="E146" s="43"/>
      <c r="F146" s="44">
        <f t="shared" si="12"/>
        <v>0</v>
      </c>
      <c r="G146" s="45" t="s">
        <v>86</v>
      </c>
      <c r="H146" s="46">
        <f t="shared" si="13"/>
        <v>0</v>
      </c>
      <c r="I146" s="46">
        <f t="shared" si="14"/>
        <v>0</v>
      </c>
      <c r="J146" s="43"/>
      <c r="K146" s="41"/>
    </row>
    <row r="147" spans="1:11" ht="16.5" customHeight="1" x14ac:dyDescent="0.25">
      <c r="A147" s="39">
        <v>144</v>
      </c>
      <c r="B147" s="40"/>
      <c r="C147" s="41"/>
      <c r="D147" s="42"/>
      <c r="E147" s="43"/>
      <c r="F147" s="47">
        <f t="shared" si="12"/>
        <v>0</v>
      </c>
      <c r="G147" s="45" t="s">
        <v>86</v>
      </c>
      <c r="H147" s="46">
        <f t="shared" si="13"/>
        <v>0</v>
      </c>
      <c r="I147" s="46">
        <f t="shared" si="14"/>
        <v>0</v>
      </c>
      <c r="J147" s="43"/>
      <c r="K147" s="41"/>
    </row>
    <row r="148" spans="1:11" ht="16.5" customHeight="1" x14ac:dyDescent="0.25">
      <c r="A148" s="39">
        <v>145</v>
      </c>
      <c r="B148" s="40"/>
      <c r="C148" s="41"/>
      <c r="D148" s="42"/>
      <c r="E148" s="43"/>
      <c r="F148" s="44">
        <f t="shared" si="12"/>
        <v>0</v>
      </c>
      <c r="G148" s="45" t="s">
        <v>86</v>
      </c>
      <c r="H148" s="46">
        <f t="shared" si="13"/>
        <v>0</v>
      </c>
      <c r="I148" s="46">
        <f t="shared" si="14"/>
        <v>0</v>
      </c>
      <c r="J148" s="43"/>
      <c r="K148" s="41"/>
    </row>
    <row r="149" spans="1:11" ht="16.5" customHeight="1" x14ac:dyDescent="0.25">
      <c r="A149" s="39">
        <v>146</v>
      </c>
      <c r="B149" s="40"/>
      <c r="C149" s="41"/>
      <c r="D149" s="42"/>
      <c r="E149" s="43"/>
      <c r="F149" s="47">
        <f t="shared" si="12"/>
        <v>0</v>
      </c>
      <c r="G149" s="45" t="s">
        <v>86</v>
      </c>
      <c r="H149" s="46">
        <f t="shared" si="13"/>
        <v>0</v>
      </c>
      <c r="I149" s="46">
        <f t="shared" si="14"/>
        <v>0</v>
      </c>
      <c r="J149" s="43"/>
      <c r="K149" s="41"/>
    </row>
    <row r="150" spans="1:11" ht="16.5" customHeight="1" x14ac:dyDescent="0.25">
      <c r="A150" s="39">
        <v>147</v>
      </c>
      <c r="B150" s="40"/>
      <c r="C150" s="41"/>
      <c r="D150" s="42"/>
      <c r="E150" s="43"/>
      <c r="F150" s="44">
        <f t="shared" si="12"/>
        <v>0</v>
      </c>
      <c r="G150" s="45" t="s">
        <v>86</v>
      </c>
      <c r="H150" s="46">
        <f t="shared" si="13"/>
        <v>0</v>
      </c>
      <c r="I150" s="46">
        <f t="shared" si="14"/>
        <v>0</v>
      </c>
      <c r="J150" s="43"/>
      <c r="K150" s="41"/>
    </row>
    <row r="151" spans="1:11" ht="16.5" customHeight="1" x14ac:dyDescent="0.25">
      <c r="A151" s="39">
        <v>148</v>
      </c>
      <c r="B151" s="40"/>
      <c r="C151" s="41"/>
      <c r="D151" s="42"/>
      <c r="E151" s="43"/>
      <c r="F151" s="47">
        <f t="shared" si="12"/>
        <v>0</v>
      </c>
      <c r="G151" s="45" t="s">
        <v>86</v>
      </c>
      <c r="H151" s="46">
        <f t="shared" si="13"/>
        <v>0</v>
      </c>
      <c r="I151" s="46">
        <f t="shared" si="14"/>
        <v>0</v>
      </c>
      <c r="J151" s="43"/>
      <c r="K151" s="41"/>
    </row>
    <row r="152" spans="1:11" ht="16.5" customHeight="1" x14ac:dyDescent="0.25">
      <c r="A152" s="39">
        <v>149</v>
      </c>
      <c r="B152" s="40"/>
      <c r="C152" s="41"/>
      <c r="D152" s="42"/>
      <c r="E152" s="43"/>
      <c r="F152" s="44">
        <f t="shared" si="12"/>
        <v>0</v>
      </c>
      <c r="G152" s="45" t="s">
        <v>86</v>
      </c>
      <c r="H152" s="46">
        <f t="shared" si="13"/>
        <v>0</v>
      </c>
      <c r="I152" s="46">
        <f t="shared" si="14"/>
        <v>0</v>
      </c>
      <c r="J152" s="43"/>
      <c r="K152" s="41"/>
    </row>
    <row r="153" spans="1:11" ht="16.5" customHeight="1" x14ac:dyDescent="0.25">
      <c r="A153" s="39">
        <v>150</v>
      </c>
      <c r="B153" s="40"/>
      <c r="C153" s="41"/>
      <c r="D153" s="42"/>
      <c r="E153" s="43"/>
      <c r="F153" s="47">
        <f t="shared" si="12"/>
        <v>0</v>
      </c>
      <c r="G153" s="45" t="s">
        <v>86</v>
      </c>
      <c r="H153" s="46">
        <f t="shared" si="13"/>
        <v>0</v>
      </c>
      <c r="I153" s="46">
        <f t="shared" si="14"/>
        <v>0</v>
      </c>
      <c r="J153" s="43"/>
      <c r="K153" s="41"/>
    </row>
    <row r="154" spans="1:11" ht="16.5" customHeight="1" x14ac:dyDescent="0.25">
      <c r="A154" s="39">
        <v>151</v>
      </c>
      <c r="B154" s="40"/>
      <c r="C154" s="41"/>
      <c r="D154" s="42"/>
      <c r="E154" s="43"/>
      <c r="F154" s="44">
        <f t="shared" si="12"/>
        <v>0</v>
      </c>
      <c r="G154" s="45" t="s">
        <v>86</v>
      </c>
      <c r="H154" s="46">
        <f t="shared" si="13"/>
        <v>0</v>
      </c>
      <c r="I154" s="46">
        <f t="shared" si="14"/>
        <v>0</v>
      </c>
      <c r="J154" s="43"/>
      <c r="K154" s="41"/>
    </row>
    <row r="155" spans="1:11" ht="16.5" customHeight="1" x14ac:dyDescent="0.25">
      <c r="A155" s="39">
        <v>152</v>
      </c>
      <c r="B155" s="40"/>
      <c r="C155" s="41"/>
      <c r="D155" s="42"/>
      <c r="E155" s="43"/>
      <c r="F155" s="47">
        <f t="shared" si="12"/>
        <v>0</v>
      </c>
      <c r="G155" s="45" t="s">
        <v>86</v>
      </c>
      <c r="H155" s="46">
        <f t="shared" si="13"/>
        <v>0</v>
      </c>
      <c r="I155" s="46">
        <f t="shared" si="14"/>
        <v>0</v>
      </c>
      <c r="J155" s="43"/>
      <c r="K155" s="41"/>
    </row>
    <row r="156" spans="1:11" ht="16.5" customHeight="1" x14ac:dyDescent="0.25">
      <c r="A156" s="39">
        <v>153</v>
      </c>
      <c r="B156" s="40"/>
      <c r="C156" s="41"/>
      <c r="D156" s="42"/>
      <c r="E156" s="43"/>
      <c r="F156" s="44">
        <f t="shared" si="12"/>
        <v>0</v>
      </c>
      <c r="G156" s="45" t="s">
        <v>86</v>
      </c>
      <c r="H156" s="46">
        <f t="shared" si="13"/>
        <v>0</v>
      </c>
      <c r="I156" s="46">
        <f t="shared" si="14"/>
        <v>0</v>
      </c>
      <c r="J156" s="43"/>
      <c r="K156" s="41"/>
    </row>
    <row r="157" spans="1:11" ht="16.5" customHeight="1" x14ac:dyDescent="0.25">
      <c r="A157" s="39">
        <v>154</v>
      </c>
      <c r="B157" s="40"/>
      <c r="C157" s="41"/>
      <c r="D157" s="42"/>
      <c r="E157" s="43"/>
      <c r="F157" s="47">
        <f t="shared" si="12"/>
        <v>0</v>
      </c>
      <c r="G157" s="45" t="s">
        <v>86</v>
      </c>
      <c r="H157" s="46">
        <f t="shared" si="13"/>
        <v>0</v>
      </c>
      <c r="I157" s="46">
        <f t="shared" si="14"/>
        <v>0</v>
      </c>
      <c r="J157" s="43"/>
      <c r="K157" s="41"/>
    </row>
    <row r="158" spans="1:11" ht="16.5" customHeight="1" x14ac:dyDescent="0.25">
      <c r="A158" s="39">
        <v>155</v>
      </c>
      <c r="B158" s="40"/>
      <c r="C158" s="41"/>
      <c r="D158" s="42"/>
      <c r="E158" s="43"/>
      <c r="F158" s="44">
        <f t="shared" si="12"/>
        <v>0</v>
      </c>
      <c r="G158" s="45" t="s">
        <v>86</v>
      </c>
      <c r="H158" s="46">
        <f t="shared" si="13"/>
        <v>0</v>
      </c>
      <c r="I158" s="46">
        <f t="shared" si="14"/>
        <v>0</v>
      </c>
      <c r="J158" s="43"/>
      <c r="K158" s="41"/>
    </row>
    <row r="159" spans="1:11" ht="16.5" customHeight="1" x14ac:dyDescent="0.25">
      <c r="A159" s="39">
        <v>156</v>
      </c>
      <c r="B159" s="40"/>
      <c r="C159" s="41"/>
      <c r="D159" s="42"/>
      <c r="E159" s="43"/>
      <c r="F159" s="47">
        <f t="shared" si="12"/>
        <v>0</v>
      </c>
      <c r="G159" s="45" t="s">
        <v>86</v>
      </c>
      <c r="H159" s="46">
        <f t="shared" si="13"/>
        <v>0</v>
      </c>
      <c r="I159" s="46">
        <f t="shared" si="14"/>
        <v>0</v>
      </c>
      <c r="J159" s="43"/>
      <c r="K159" s="41"/>
    </row>
    <row r="160" spans="1:11" ht="16.5" customHeight="1" x14ac:dyDescent="0.25">
      <c r="A160" s="39">
        <v>157</v>
      </c>
      <c r="B160" s="40"/>
      <c r="C160" s="41"/>
      <c r="D160" s="42"/>
      <c r="E160" s="43"/>
      <c r="F160" s="44">
        <f t="shared" si="12"/>
        <v>0</v>
      </c>
      <c r="G160" s="45" t="s">
        <v>86</v>
      </c>
      <c r="H160" s="46">
        <f t="shared" si="13"/>
        <v>0</v>
      </c>
      <c r="I160" s="46">
        <f t="shared" si="14"/>
        <v>0</v>
      </c>
      <c r="J160" s="43"/>
      <c r="K160" s="41"/>
    </row>
    <row r="161" spans="1:11" ht="16.5" customHeight="1" x14ac:dyDescent="0.25">
      <c r="A161" s="39">
        <v>158</v>
      </c>
      <c r="B161" s="40"/>
      <c r="C161" s="41"/>
      <c r="D161" s="42"/>
      <c r="E161" s="43"/>
      <c r="F161" s="47">
        <f t="shared" si="12"/>
        <v>0</v>
      </c>
      <c r="G161" s="45" t="s">
        <v>86</v>
      </c>
      <c r="H161" s="46">
        <f t="shared" si="13"/>
        <v>0</v>
      </c>
      <c r="I161" s="46">
        <f t="shared" si="14"/>
        <v>0</v>
      </c>
      <c r="J161" s="43"/>
      <c r="K161" s="41"/>
    </row>
    <row r="162" spans="1:11" ht="16.5" customHeight="1" x14ac:dyDescent="0.25">
      <c r="A162" s="39">
        <v>159</v>
      </c>
      <c r="B162" s="40"/>
      <c r="C162" s="41"/>
      <c r="D162" s="42"/>
      <c r="E162" s="43"/>
      <c r="F162" s="44">
        <f t="shared" si="12"/>
        <v>0</v>
      </c>
      <c r="G162" s="45" t="s">
        <v>86</v>
      </c>
      <c r="H162" s="46">
        <f t="shared" si="13"/>
        <v>0</v>
      </c>
      <c r="I162" s="46">
        <f t="shared" si="14"/>
        <v>0</v>
      </c>
      <c r="J162" s="43"/>
      <c r="K162" s="41"/>
    </row>
    <row r="163" spans="1:11" ht="16.5" customHeight="1" x14ac:dyDescent="0.25">
      <c r="A163" s="39">
        <v>160</v>
      </c>
      <c r="B163" s="40"/>
      <c r="C163" s="41"/>
      <c r="D163" s="42"/>
      <c r="E163" s="43"/>
      <c r="F163" s="47">
        <f t="shared" si="12"/>
        <v>0</v>
      </c>
      <c r="G163" s="45" t="s">
        <v>86</v>
      </c>
      <c r="H163" s="46">
        <f t="shared" si="13"/>
        <v>0</v>
      </c>
      <c r="I163" s="46">
        <f t="shared" si="14"/>
        <v>0</v>
      </c>
      <c r="J163" s="43"/>
      <c r="K163" s="41"/>
    </row>
    <row r="164" spans="1:11" ht="16.5" customHeight="1" x14ac:dyDescent="0.25">
      <c r="A164" s="39">
        <v>161</v>
      </c>
      <c r="B164" s="40"/>
      <c r="C164" s="41"/>
      <c r="D164" s="42"/>
      <c r="E164" s="43"/>
      <c r="F164" s="44">
        <f t="shared" ref="F164:F195" si="15">IF(ISNUMBER(E164),E164,0)</f>
        <v>0</v>
      </c>
      <c r="G164" s="45" t="s">
        <v>86</v>
      </c>
      <c r="H164" s="46">
        <f t="shared" ref="H164:H195" si="16">IF(ISNUMBER(E164),ROUND(E164*IF(G164="20%",0.2,IF(G164="5%",0.05,0)),2),0)</f>
        <v>0</v>
      </c>
      <c r="I164" s="46">
        <f t="shared" ref="I164:I195" si="17">IF(ISNUMBER(E164),E164+H164,0)</f>
        <v>0</v>
      </c>
      <c r="J164" s="43"/>
      <c r="K164" s="41"/>
    </row>
    <row r="165" spans="1:11" ht="16.5" customHeight="1" x14ac:dyDescent="0.25">
      <c r="A165" s="39">
        <v>162</v>
      </c>
      <c r="B165" s="40"/>
      <c r="C165" s="41"/>
      <c r="D165" s="42"/>
      <c r="E165" s="43"/>
      <c r="F165" s="47">
        <f t="shared" si="15"/>
        <v>0</v>
      </c>
      <c r="G165" s="45" t="s">
        <v>86</v>
      </c>
      <c r="H165" s="46">
        <f t="shared" si="16"/>
        <v>0</v>
      </c>
      <c r="I165" s="46">
        <f t="shared" si="17"/>
        <v>0</v>
      </c>
      <c r="J165" s="43"/>
      <c r="K165" s="41"/>
    </row>
    <row r="166" spans="1:11" ht="16.5" customHeight="1" x14ac:dyDescent="0.25">
      <c r="A166" s="39">
        <v>163</v>
      </c>
      <c r="B166" s="40"/>
      <c r="C166" s="41"/>
      <c r="D166" s="42"/>
      <c r="E166" s="43"/>
      <c r="F166" s="44">
        <f t="shared" si="15"/>
        <v>0</v>
      </c>
      <c r="G166" s="45" t="s">
        <v>86</v>
      </c>
      <c r="H166" s="46">
        <f t="shared" si="16"/>
        <v>0</v>
      </c>
      <c r="I166" s="46">
        <f t="shared" si="17"/>
        <v>0</v>
      </c>
      <c r="J166" s="43"/>
      <c r="K166" s="41"/>
    </row>
    <row r="167" spans="1:11" ht="16.5" customHeight="1" x14ac:dyDescent="0.25">
      <c r="A167" s="39">
        <v>164</v>
      </c>
      <c r="B167" s="40"/>
      <c r="C167" s="41"/>
      <c r="D167" s="42"/>
      <c r="E167" s="43"/>
      <c r="F167" s="47">
        <f t="shared" si="15"/>
        <v>0</v>
      </c>
      <c r="G167" s="45" t="s">
        <v>86</v>
      </c>
      <c r="H167" s="46">
        <f t="shared" si="16"/>
        <v>0</v>
      </c>
      <c r="I167" s="46">
        <f t="shared" si="17"/>
        <v>0</v>
      </c>
      <c r="J167" s="43"/>
      <c r="K167" s="41"/>
    </row>
    <row r="168" spans="1:11" ht="16.5" customHeight="1" x14ac:dyDescent="0.25">
      <c r="A168" s="39">
        <v>165</v>
      </c>
      <c r="B168" s="40"/>
      <c r="C168" s="41"/>
      <c r="D168" s="42"/>
      <c r="E168" s="43"/>
      <c r="F168" s="44">
        <f t="shared" si="15"/>
        <v>0</v>
      </c>
      <c r="G168" s="45" t="s">
        <v>86</v>
      </c>
      <c r="H168" s="46">
        <f t="shared" si="16"/>
        <v>0</v>
      </c>
      <c r="I168" s="46">
        <f t="shared" si="17"/>
        <v>0</v>
      </c>
      <c r="J168" s="43"/>
      <c r="K168" s="41"/>
    </row>
    <row r="169" spans="1:11" ht="16.5" customHeight="1" x14ac:dyDescent="0.25">
      <c r="A169" s="39">
        <v>166</v>
      </c>
      <c r="B169" s="40"/>
      <c r="C169" s="41"/>
      <c r="D169" s="42"/>
      <c r="E169" s="43"/>
      <c r="F169" s="47">
        <f t="shared" si="15"/>
        <v>0</v>
      </c>
      <c r="G169" s="45" t="s">
        <v>86</v>
      </c>
      <c r="H169" s="46">
        <f t="shared" si="16"/>
        <v>0</v>
      </c>
      <c r="I169" s="46">
        <f t="shared" si="17"/>
        <v>0</v>
      </c>
      <c r="J169" s="43"/>
      <c r="K169" s="41"/>
    </row>
    <row r="170" spans="1:11" ht="16.5" customHeight="1" x14ac:dyDescent="0.25">
      <c r="A170" s="39">
        <v>167</v>
      </c>
      <c r="B170" s="40"/>
      <c r="C170" s="41"/>
      <c r="D170" s="42"/>
      <c r="E170" s="43"/>
      <c r="F170" s="44">
        <f t="shared" si="15"/>
        <v>0</v>
      </c>
      <c r="G170" s="45" t="s">
        <v>86</v>
      </c>
      <c r="H170" s="46">
        <f t="shared" si="16"/>
        <v>0</v>
      </c>
      <c r="I170" s="46">
        <f t="shared" si="17"/>
        <v>0</v>
      </c>
      <c r="J170" s="43"/>
      <c r="K170" s="41"/>
    </row>
    <row r="171" spans="1:11" ht="16.5" customHeight="1" x14ac:dyDescent="0.25">
      <c r="A171" s="39">
        <v>168</v>
      </c>
      <c r="B171" s="40"/>
      <c r="C171" s="41"/>
      <c r="D171" s="42"/>
      <c r="E171" s="43"/>
      <c r="F171" s="47">
        <f t="shared" si="15"/>
        <v>0</v>
      </c>
      <c r="G171" s="45" t="s">
        <v>86</v>
      </c>
      <c r="H171" s="46">
        <f t="shared" si="16"/>
        <v>0</v>
      </c>
      <c r="I171" s="46">
        <f t="shared" si="17"/>
        <v>0</v>
      </c>
      <c r="J171" s="43"/>
      <c r="K171" s="41"/>
    </row>
    <row r="172" spans="1:11" ht="16.5" customHeight="1" x14ac:dyDescent="0.25">
      <c r="A172" s="39">
        <v>169</v>
      </c>
      <c r="B172" s="40"/>
      <c r="C172" s="41"/>
      <c r="D172" s="42"/>
      <c r="E172" s="43"/>
      <c r="F172" s="44">
        <f t="shared" si="15"/>
        <v>0</v>
      </c>
      <c r="G172" s="45" t="s">
        <v>86</v>
      </c>
      <c r="H172" s="46">
        <f t="shared" si="16"/>
        <v>0</v>
      </c>
      <c r="I172" s="46">
        <f t="shared" si="17"/>
        <v>0</v>
      </c>
      <c r="J172" s="43"/>
      <c r="K172" s="41"/>
    </row>
    <row r="173" spans="1:11" ht="16.5" customHeight="1" x14ac:dyDescent="0.25">
      <c r="A173" s="39">
        <v>170</v>
      </c>
      <c r="B173" s="40"/>
      <c r="C173" s="41"/>
      <c r="D173" s="42"/>
      <c r="E173" s="43"/>
      <c r="F173" s="47">
        <f t="shared" si="15"/>
        <v>0</v>
      </c>
      <c r="G173" s="45" t="s">
        <v>86</v>
      </c>
      <c r="H173" s="46">
        <f t="shared" si="16"/>
        <v>0</v>
      </c>
      <c r="I173" s="46">
        <f t="shared" si="17"/>
        <v>0</v>
      </c>
      <c r="J173" s="43"/>
      <c r="K173" s="41"/>
    </row>
    <row r="174" spans="1:11" ht="16.5" customHeight="1" x14ac:dyDescent="0.25">
      <c r="A174" s="39">
        <v>171</v>
      </c>
      <c r="B174" s="40"/>
      <c r="C174" s="41"/>
      <c r="D174" s="42"/>
      <c r="E174" s="43"/>
      <c r="F174" s="44">
        <f t="shared" si="15"/>
        <v>0</v>
      </c>
      <c r="G174" s="45" t="s">
        <v>86</v>
      </c>
      <c r="H174" s="46">
        <f t="shared" si="16"/>
        <v>0</v>
      </c>
      <c r="I174" s="46">
        <f t="shared" si="17"/>
        <v>0</v>
      </c>
      <c r="J174" s="43"/>
      <c r="K174" s="41"/>
    </row>
    <row r="175" spans="1:11" ht="16.5" customHeight="1" x14ac:dyDescent="0.25">
      <c r="A175" s="39">
        <v>172</v>
      </c>
      <c r="B175" s="40"/>
      <c r="C175" s="41"/>
      <c r="D175" s="42"/>
      <c r="E175" s="43"/>
      <c r="F175" s="47">
        <f t="shared" si="15"/>
        <v>0</v>
      </c>
      <c r="G175" s="45" t="s">
        <v>86</v>
      </c>
      <c r="H175" s="46">
        <f t="shared" si="16"/>
        <v>0</v>
      </c>
      <c r="I175" s="46">
        <f t="shared" si="17"/>
        <v>0</v>
      </c>
      <c r="J175" s="43"/>
      <c r="K175" s="41"/>
    </row>
    <row r="176" spans="1:11" ht="16.5" customHeight="1" x14ac:dyDescent="0.25">
      <c r="A176" s="39">
        <v>173</v>
      </c>
      <c r="B176" s="40"/>
      <c r="C176" s="41"/>
      <c r="D176" s="42"/>
      <c r="E176" s="43"/>
      <c r="F176" s="44">
        <f t="shared" si="15"/>
        <v>0</v>
      </c>
      <c r="G176" s="45" t="s">
        <v>86</v>
      </c>
      <c r="H176" s="46">
        <f t="shared" si="16"/>
        <v>0</v>
      </c>
      <c r="I176" s="46">
        <f t="shared" si="17"/>
        <v>0</v>
      </c>
      <c r="J176" s="43"/>
      <c r="K176" s="41"/>
    </row>
    <row r="177" spans="1:11" ht="16.5" customHeight="1" x14ac:dyDescent="0.25">
      <c r="A177" s="39">
        <v>174</v>
      </c>
      <c r="B177" s="40"/>
      <c r="C177" s="41"/>
      <c r="D177" s="42"/>
      <c r="E177" s="43"/>
      <c r="F177" s="47">
        <f t="shared" si="15"/>
        <v>0</v>
      </c>
      <c r="G177" s="45" t="s">
        <v>86</v>
      </c>
      <c r="H177" s="46">
        <f t="shared" si="16"/>
        <v>0</v>
      </c>
      <c r="I177" s="46">
        <f t="shared" si="17"/>
        <v>0</v>
      </c>
      <c r="J177" s="43"/>
      <c r="K177" s="41"/>
    </row>
    <row r="178" spans="1:11" ht="16.5" customHeight="1" x14ac:dyDescent="0.25">
      <c r="A178" s="39">
        <v>175</v>
      </c>
      <c r="B178" s="40"/>
      <c r="C178" s="41"/>
      <c r="D178" s="42"/>
      <c r="E178" s="43"/>
      <c r="F178" s="44">
        <f t="shared" si="15"/>
        <v>0</v>
      </c>
      <c r="G178" s="45" t="s">
        <v>86</v>
      </c>
      <c r="H178" s="46">
        <f t="shared" si="16"/>
        <v>0</v>
      </c>
      <c r="I178" s="46">
        <f t="shared" si="17"/>
        <v>0</v>
      </c>
      <c r="J178" s="43"/>
      <c r="K178" s="41"/>
    </row>
    <row r="179" spans="1:11" ht="16.5" customHeight="1" x14ac:dyDescent="0.25">
      <c r="A179" s="39">
        <v>176</v>
      </c>
      <c r="B179" s="40"/>
      <c r="C179" s="41"/>
      <c r="D179" s="42"/>
      <c r="E179" s="43"/>
      <c r="F179" s="47">
        <f t="shared" si="15"/>
        <v>0</v>
      </c>
      <c r="G179" s="45" t="s">
        <v>86</v>
      </c>
      <c r="H179" s="46">
        <f t="shared" si="16"/>
        <v>0</v>
      </c>
      <c r="I179" s="46">
        <f t="shared" si="17"/>
        <v>0</v>
      </c>
      <c r="J179" s="43"/>
      <c r="K179" s="41"/>
    </row>
    <row r="180" spans="1:11" ht="16.5" customHeight="1" x14ac:dyDescent="0.25">
      <c r="A180" s="39">
        <v>177</v>
      </c>
      <c r="B180" s="40"/>
      <c r="C180" s="41"/>
      <c r="D180" s="42"/>
      <c r="E180" s="43"/>
      <c r="F180" s="44">
        <f t="shared" si="15"/>
        <v>0</v>
      </c>
      <c r="G180" s="45" t="s">
        <v>86</v>
      </c>
      <c r="H180" s="46">
        <f t="shared" si="16"/>
        <v>0</v>
      </c>
      <c r="I180" s="46">
        <f t="shared" si="17"/>
        <v>0</v>
      </c>
      <c r="J180" s="43"/>
      <c r="K180" s="41"/>
    </row>
    <row r="181" spans="1:11" ht="16.5" customHeight="1" x14ac:dyDescent="0.25">
      <c r="A181" s="39">
        <v>178</v>
      </c>
      <c r="B181" s="40"/>
      <c r="C181" s="41"/>
      <c r="D181" s="42"/>
      <c r="E181" s="43"/>
      <c r="F181" s="47">
        <f t="shared" si="15"/>
        <v>0</v>
      </c>
      <c r="G181" s="45" t="s">
        <v>86</v>
      </c>
      <c r="H181" s="46">
        <f t="shared" si="16"/>
        <v>0</v>
      </c>
      <c r="I181" s="46">
        <f t="shared" si="17"/>
        <v>0</v>
      </c>
      <c r="J181" s="43"/>
      <c r="K181" s="41"/>
    </row>
    <row r="182" spans="1:11" ht="16.5" customHeight="1" x14ac:dyDescent="0.25">
      <c r="A182" s="39">
        <v>179</v>
      </c>
      <c r="B182" s="40"/>
      <c r="C182" s="41"/>
      <c r="D182" s="42"/>
      <c r="E182" s="43"/>
      <c r="F182" s="44">
        <f t="shared" si="15"/>
        <v>0</v>
      </c>
      <c r="G182" s="45" t="s">
        <v>86</v>
      </c>
      <c r="H182" s="46">
        <f t="shared" si="16"/>
        <v>0</v>
      </c>
      <c r="I182" s="46">
        <f t="shared" si="17"/>
        <v>0</v>
      </c>
      <c r="J182" s="43"/>
      <c r="K182" s="41"/>
    </row>
    <row r="183" spans="1:11" ht="16.5" customHeight="1" x14ac:dyDescent="0.25">
      <c r="A183" s="39">
        <v>180</v>
      </c>
      <c r="B183" s="40"/>
      <c r="C183" s="41"/>
      <c r="D183" s="42"/>
      <c r="E183" s="43"/>
      <c r="F183" s="47">
        <f t="shared" si="15"/>
        <v>0</v>
      </c>
      <c r="G183" s="45" t="s">
        <v>86</v>
      </c>
      <c r="H183" s="46">
        <f t="shared" si="16"/>
        <v>0</v>
      </c>
      <c r="I183" s="46">
        <f t="shared" si="17"/>
        <v>0</v>
      </c>
      <c r="J183" s="43"/>
      <c r="K183" s="41"/>
    </row>
    <row r="184" spans="1:11" ht="16.5" customHeight="1" x14ac:dyDescent="0.25">
      <c r="A184" s="39">
        <v>181</v>
      </c>
      <c r="B184" s="40"/>
      <c r="C184" s="41"/>
      <c r="D184" s="42"/>
      <c r="E184" s="43"/>
      <c r="F184" s="44">
        <f t="shared" si="15"/>
        <v>0</v>
      </c>
      <c r="G184" s="45" t="s">
        <v>86</v>
      </c>
      <c r="H184" s="46">
        <f t="shared" si="16"/>
        <v>0</v>
      </c>
      <c r="I184" s="46">
        <f t="shared" si="17"/>
        <v>0</v>
      </c>
      <c r="J184" s="43"/>
      <c r="K184" s="41"/>
    </row>
    <row r="185" spans="1:11" ht="16.5" customHeight="1" x14ac:dyDescent="0.25">
      <c r="A185" s="39">
        <v>182</v>
      </c>
      <c r="B185" s="40"/>
      <c r="C185" s="41"/>
      <c r="D185" s="42"/>
      <c r="E185" s="43"/>
      <c r="F185" s="47">
        <f t="shared" si="15"/>
        <v>0</v>
      </c>
      <c r="G185" s="45" t="s">
        <v>86</v>
      </c>
      <c r="H185" s="46">
        <f t="shared" si="16"/>
        <v>0</v>
      </c>
      <c r="I185" s="46">
        <f t="shared" si="17"/>
        <v>0</v>
      </c>
      <c r="J185" s="43"/>
      <c r="K185" s="41"/>
    </row>
    <row r="186" spans="1:11" ht="16.5" customHeight="1" x14ac:dyDescent="0.25">
      <c r="A186" s="39">
        <v>183</v>
      </c>
      <c r="B186" s="40"/>
      <c r="C186" s="41"/>
      <c r="D186" s="42"/>
      <c r="E186" s="43"/>
      <c r="F186" s="44">
        <f t="shared" si="15"/>
        <v>0</v>
      </c>
      <c r="G186" s="45" t="s">
        <v>86</v>
      </c>
      <c r="H186" s="46">
        <f t="shared" si="16"/>
        <v>0</v>
      </c>
      <c r="I186" s="46">
        <f t="shared" si="17"/>
        <v>0</v>
      </c>
      <c r="J186" s="43"/>
      <c r="K186" s="41"/>
    </row>
    <row r="187" spans="1:11" ht="16.5" customHeight="1" x14ac:dyDescent="0.25">
      <c r="A187" s="39">
        <v>184</v>
      </c>
      <c r="B187" s="40"/>
      <c r="C187" s="41"/>
      <c r="D187" s="42"/>
      <c r="E187" s="43"/>
      <c r="F187" s="47">
        <f t="shared" si="15"/>
        <v>0</v>
      </c>
      <c r="G187" s="45" t="s">
        <v>86</v>
      </c>
      <c r="H187" s="46">
        <f t="shared" si="16"/>
        <v>0</v>
      </c>
      <c r="I187" s="46">
        <f t="shared" si="17"/>
        <v>0</v>
      </c>
      <c r="J187" s="43"/>
      <c r="K187" s="41"/>
    </row>
    <row r="188" spans="1:11" ht="16.5" customHeight="1" x14ac:dyDescent="0.25">
      <c r="A188" s="39">
        <v>185</v>
      </c>
      <c r="B188" s="40"/>
      <c r="C188" s="41"/>
      <c r="D188" s="42"/>
      <c r="E188" s="43"/>
      <c r="F188" s="44">
        <f t="shared" si="15"/>
        <v>0</v>
      </c>
      <c r="G188" s="45" t="s">
        <v>86</v>
      </c>
      <c r="H188" s="46">
        <f t="shared" si="16"/>
        <v>0</v>
      </c>
      <c r="I188" s="46">
        <f t="shared" si="17"/>
        <v>0</v>
      </c>
      <c r="J188" s="43"/>
      <c r="K188" s="41"/>
    </row>
    <row r="189" spans="1:11" ht="16.5" customHeight="1" x14ac:dyDescent="0.25">
      <c r="A189" s="39">
        <v>186</v>
      </c>
      <c r="B189" s="40"/>
      <c r="C189" s="41"/>
      <c r="D189" s="42"/>
      <c r="E189" s="43"/>
      <c r="F189" s="47">
        <f t="shared" si="15"/>
        <v>0</v>
      </c>
      <c r="G189" s="45" t="s">
        <v>86</v>
      </c>
      <c r="H189" s="46">
        <f t="shared" si="16"/>
        <v>0</v>
      </c>
      <c r="I189" s="46">
        <f t="shared" si="17"/>
        <v>0</v>
      </c>
      <c r="J189" s="43"/>
      <c r="K189" s="41"/>
    </row>
    <row r="190" spans="1:11" ht="16.5" customHeight="1" x14ac:dyDescent="0.25">
      <c r="A190" s="39">
        <v>187</v>
      </c>
      <c r="B190" s="40"/>
      <c r="C190" s="41"/>
      <c r="D190" s="42"/>
      <c r="E190" s="43"/>
      <c r="F190" s="44">
        <f t="shared" si="15"/>
        <v>0</v>
      </c>
      <c r="G190" s="45" t="s">
        <v>86</v>
      </c>
      <c r="H190" s="46">
        <f t="shared" si="16"/>
        <v>0</v>
      </c>
      <c r="I190" s="46">
        <f t="shared" si="17"/>
        <v>0</v>
      </c>
      <c r="J190" s="43"/>
      <c r="K190" s="41"/>
    </row>
    <row r="191" spans="1:11" ht="16.5" customHeight="1" x14ac:dyDescent="0.25">
      <c r="A191" s="39">
        <v>188</v>
      </c>
      <c r="B191" s="40"/>
      <c r="C191" s="41"/>
      <c r="D191" s="42"/>
      <c r="E191" s="43"/>
      <c r="F191" s="47">
        <f t="shared" si="15"/>
        <v>0</v>
      </c>
      <c r="G191" s="45" t="s">
        <v>86</v>
      </c>
      <c r="H191" s="46">
        <f t="shared" si="16"/>
        <v>0</v>
      </c>
      <c r="I191" s="46">
        <f t="shared" si="17"/>
        <v>0</v>
      </c>
      <c r="J191" s="43"/>
      <c r="K191" s="41"/>
    </row>
    <row r="192" spans="1:11" ht="16.5" customHeight="1" x14ac:dyDescent="0.25">
      <c r="A192" s="39">
        <v>189</v>
      </c>
      <c r="B192" s="40"/>
      <c r="C192" s="41"/>
      <c r="D192" s="42"/>
      <c r="E192" s="43"/>
      <c r="F192" s="44">
        <f t="shared" si="15"/>
        <v>0</v>
      </c>
      <c r="G192" s="45" t="s">
        <v>86</v>
      </c>
      <c r="H192" s="46">
        <f t="shared" si="16"/>
        <v>0</v>
      </c>
      <c r="I192" s="46">
        <f t="shared" si="17"/>
        <v>0</v>
      </c>
      <c r="J192" s="43"/>
      <c r="K192" s="41"/>
    </row>
    <row r="193" spans="1:11" ht="16.5" customHeight="1" x14ac:dyDescent="0.25">
      <c r="A193" s="39">
        <v>190</v>
      </c>
      <c r="B193" s="40"/>
      <c r="C193" s="41"/>
      <c r="D193" s="42"/>
      <c r="E193" s="43"/>
      <c r="F193" s="47">
        <f t="shared" si="15"/>
        <v>0</v>
      </c>
      <c r="G193" s="45" t="s">
        <v>86</v>
      </c>
      <c r="H193" s="46">
        <f t="shared" si="16"/>
        <v>0</v>
      </c>
      <c r="I193" s="46">
        <f t="shared" si="17"/>
        <v>0</v>
      </c>
      <c r="J193" s="43"/>
      <c r="K193" s="41"/>
    </row>
    <row r="194" spans="1:11" ht="16.5" customHeight="1" x14ac:dyDescent="0.25">
      <c r="A194" s="39">
        <v>191</v>
      </c>
      <c r="B194" s="40"/>
      <c r="C194" s="41"/>
      <c r="D194" s="42"/>
      <c r="E194" s="43"/>
      <c r="F194" s="44">
        <f t="shared" si="15"/>
        <v>0</v>
      </c>
      <c r="G194" s="45" t="s">
        <v>86</v>
      </c>
      <c r="H194" s="46">
        <f t="shared" si="16"/>
        <v>0</v>
      </c>
      <c r="I194" s="46">
        <f t="shared" si="17"/>
        <v>0</v>
      </c>
      <c r="J194" s="43"/>
      <c r="K194" s="41"/>
    </row>
    <row r="195" spans="1:11" ht="16.5" customHeight="1" x14ac:dyDescent="0.25">
      <c r="A195" s="39">
        <v>192</v>
      </c>
      <c r="B195" s="40"/>
      <c r="C195" s="41"/>
      <c r="D195" s="42"/>
      <c r="E195" s="43"/>
      <c r="F195" s="47">
        <f t="shared" si="15"/>
        <v>0</v>
      </c>
      <c r="G195" s="45" t="s">
        <v>86</v>
      </c>
      <c r="H195" s="46">
        <f t="shared" si="16"/>
        <v>0</v>
      </c>
      <c r="I195" s="46">
        <f t="shared" si="17"/>
        <v>0</v>
      </c>
      <c r="J195" s="43"/>
      <c r="K195" s="41"/>
    </row>
    <row r="196" spans="1:11" ht="16.5" customHeight="1" x14ac:dyDescent="0.25">
      <c r="A196" s="39">
        <v>193</v>
      </c>
      <c r="B196" s="40"/>
      <c r="C196" s="41"/>
      <c r="D196" s="42"/>
      <c r="E196" s="43"/>
      <c r="F196" s="44">
        <f t="shared" ref="F196:F227" si="18">IF(ISNUMBER(E196),E196,0)</f>
        <v>0</v>
      </c>
      <c r="G196" s="45" t="s">
        <v>86</v>
      </c>
      <c r="H196" s="46">
        <f t="shared" ref="H196:H227" si="19">IF(ISNUMBER(E196),ROUND(E196*IF(G196="20%",0.2,IF(G196="5%",0.05,0)),2),0)</f>
        <v>0</v>
      </c>
      <c r="I196" s="46">
        <f t="shared" ref="I196:I227" si="20">IF(ISNUMBER(E196),E196+H196,0)</f>
        <v>0</v>
      </c>
      <c r="J196" s="43"/>
      <c r="K196" s="41"/>
    </row>
    <row r="197" spans="1:11" ht="16.5" customHeight="1" x14ac:dyDescent="0.25">
      <c r="A197" s="39">
        <v>194</v>
      </c>
      <c r="B197" s="40"/>
      <c r="C197" s="41"/>
      <c r="D197" s="42"/>
      <c r="E197" s="43"/>
      <c r="F197" s="47">
        <f t="shared" si="18"/>
        <v>0</v>
      </c>
      <c r="G197" s="45" t="s">
        <v>86</v>
      </c>
      <c r="H197" s="46">
        <f t="shared" si="19"/>
        <v>0</v>
      </c>
      <c r="I197" s="46">
        <f t="shared" si="20"/>
        <v>0</v>
      </c>
      <c r="J197" s="43"/>
      <c r="K197" s="41"/>
    </row>
    <row r="198" spans="1:11" ht="16.5" customHeight="1" x14ac:dyDescent="0.25">
      <c r="A198" s="39">
        <v>195</v>
      </c>
      <c r="B198" s="40"/>
      <c r="C198" s="41"/>
      <c r="D198" s="42"/>
      <c r="E198" s="43"/>
      <c r="F198" s="44">
        <f t="shared" si="18"/>
        <v>0</v>
      </c>
      <c r="G198" s="45" t="s">
        <v>86</v>
      </c>
      <c r="H198" s="46">
        <f t="shared" si="19"/>
        <v>0</v>
      </c>
      <c r="I198" s="46">
        <f t="shared" si="20"/>
        <v>0</v>
      </c>
      <c r="J198" s="43"/>
      <c r="K198" s="41"/>
    </row>
    <row r="199" spans="1:11" ht="16.5" customHeight="1" x14ac:dyDescent="0.25">
      <c r="A199" s="39">
        <v>196</v>
      </c>
      <c r="B199" s="40"/>
      <c r="C199" s="41"/>
      <c r="D199" s="42"/>
      <c r="E199" s="43"/>
      <c r="F199" s="47">
        <f t="shared" si="18"/>
        <v>0</v>
      </c>
      <c r="G199" s="45" t="s">
        <v>86</v>
      </c>
      <c r="H199" s="46">
        <f t="shared" si="19"/>
        <v>0</v>
      </c>
      <c r="I199" s="46">
        <f t="shared" si="20"/>
        <v>0</v>
      </c>
      <c r="J199" s="43"/>
      <c r="K199" s="41"/>
    </row>
    <row r="200" spans="1:11" ht="16.5" customHeight="1" x14ac:dyDescent="0.25">
      <c r="A200" s="39">
        <v>197</v>
      </c>
      <c r="B200" s="40"/>
      <c r="C200" s="41"/>
      <c r="D200" s="42"/>
      <c r="E200" s="43"/>
      <c r="F200" s="44">
        <f t="shared" si="18"/>
        <v>0</v>
      </c>
      <c r="G200" s="45" t="s">
        <v>86</v>
      </c>
      <c r="H200" s="46">
        <f t="shared" si="19"/>
        <v>0</v>
      </c>
      <c r="I200" s="46">
        <f t="shared" si="20"/>
        <v>0</v>
      </c>
      <c r="J200" s="43"/>
      <c r="K200" s="41"/>
    </row>
    <row r="201" spans="1:11" ht="16.5" customHeight="1" x14ac:dyDescent="0.25">
      <c r="A201" s="39">
        <v>198</v>
      </c>
      <c r="B201" s="40"/>
      <c r="C201" s="41"/>
      <c r="D201" s="42"/>
      <c r="E201" s="43"/>
      <c r="F201" s="47">
        <f t="shared" si="18"/>
        <v>0</v>
      </c>
      <c r="G201" s="45" t="s">
        <v>86</v>
      </c>
      <c r="H201" s="46">
        <f t="shared" si="19"/>
        <v>0</v>
      </c>
      <c r="I201" s="46">
        <f t="shared" si="20"/>
        <v>0</v>
      </c>
      <c r="J201" s="43"/>
      <c r="K201" s="41"/>
    </row>
    <row r="202" spans="1:11" ht="16.5" customHeight="1" x14ac:dyDescent="0.25">
      <c r="A202" s="39">
        <v>199</v>
      </c>
      <c r="B202" s="40"/>
      <c r="C202" s="41"/>
      <c r="D202" s="42"/>
      <c r="E202" s="43"/>
      <c r="F202" s="44">
        <f t="shared" si="18"/>
        <v>0</v>
      </c>
      <c r="G202" s="45" t="s">
        <v>86</v>
      </c>
      <c r="H202" s="46">
        <f t="shared" si="19"/>
        <v>0</v>
      </c>
      <c r="I202" s="46">
        <f t="shared" si="20"/>
        <v>0</v>
      </c>
      <c r="J202" s="43"/>
      <c r="K202" s="41"/>
    </row>
    <row r="203" spans="1:11" ht="16.5" customHeight="1" x14ac:dyDescent="0.25">
      <c r="A203" s="39">
        <v>200</v>
      </c>
      <c r="B203" s="40"/>
      <c r="C203" s="41"/>
      <c r="D203" s="42"/>
      <c r="E203" s="43"/>
      <c r="F203" s="47">
        <f t="shared" si="18"/>
        <v>0</v>
      </c>
      <c r="G203" s="45" t="s">
        <v>86</v>
      </c>
      <c r="H203" s="46">
        <f t="shared" si="19"/>
        <v>0</v>
      </c>
      <c r="I203" s="46">
        <f t="shared" si="20"/>
        <v>0</v>
      </c>
      <c r="J203" s="43"/>
      <c r="K203" s="41"/>
    </row>
    <row r="205" spans="1:11" ht="21.75" customHeight="1" x14ac:dyDescent="0.25">
      <c r="A205" s="57" t="s">
        <v>42</v>
      </c>
      <c r="B205" s="57"/>
      <c r="C205" s="57"/>
      <c r="D205" s="57"/>
      <c r="E205" s="57"/>
      <c r="F205" s="57"/>
      <c r="G205" s="57"/>
      <c r="H205" s="57"/>
      <c r="I205" s="57"/>
      <c r="J205" s="57"/>
      <c r="K205" s="57"/>
    </row>
  </sheetData>
  <mergeCells count="3">
    <mergeCell ref="A1:K1"/>
    <mergeCell ref="A2:K2"/>
    <mergeCell ref="A205:K205"/>
  </mergeCells>
  <dataValidations count="2">
    <dataValidation type="list" sqref="G4:G203" xr:uid="{00000000-0002-0000-0200-000000000000}">
      <formula1>"0%,5%,20%"</formula1>
      <formula2>0</formula2>
    </dataValidation>
    <dataValidation type="list" sqref="K4:K203" xr:uid="{00000000-0002-0000-0200-000001000000}">
      <formula1>"Consultancy,Outsourcing,Software,Professional Fees,Export (0%),Exempt,EC Supply,Other"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1C1C"/>
  </sheetPr>
  <dimension ref="A1:K205"/>
  <sheetViews>
    <sheetView showGridLines="0" zoomScale="85" zoomScaleNormal="85" workbookViewId="0">
      <selection sqref="A1:K1"/>
    </sheetView>
  </sheetViews>
  <sheetFormatPr defaultColWidth="8.7109375" defaultRowHeight="15" x14ac:dyDescent="0.25"/>
  <cols>
    <col min="1" max="1" width="3" style="15" customWidth="1"/>
    <col min="2" max="2" width="14" style="15" customWidth="1"/>
    <col min="3" max="3" width="26" style="15" customWidth="1"/>
    <col min="4" max="4" width="11" style="15" customWidth="1"/>
    <col min="5" max="6" width="16" style="15" customWidth="1"/>
    <col min="7" max="7" width="9" style="15" customWidth="1"/>
    <col min="8" max="10" width="16" style="15" customWidth="1"/>
    <col min="11" max="11" width="18" style="15" customWidth="1"/>
  </cols>
  <sheetData>
    <row r="1" spans="1:11" ht="37.5" customHeight="1" x14ac:dyDescent="0.25">
      <c r="A1" s="64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25.5" customHeight="1" x14ac:dyDescent="0.25">
      <c r="A2" s="65" t="s">
        <v>90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24" customHeight="1" x14ac:dyDescent="0.25">
      <c r="A3" s="19" t="s">
        <v>81</v>
      </c>
      <c r="B3" s="19"/>
      <c r="C3" s="19"/>
      <c r="D3" s="19"/>
      <c r="E3" s="38">
        <f>SUM(E4:E203)</f>
        <v>0</v>
      </c>
      <c r="F3" s="38">
        <f>SUM(F4:F203)</f>
        <v>0</v>
      </c>
      <c r="G3" s="19"/>
      <c r="H3" s="38">
        <f>SUMIF(J4:J203,"Claimable",H4:H203)+SUMIF(J4:J203,"Capital Goods FRS",H4:H203)</f>
        <v>0</v>
      </c>
      <c r="I3" s="38">
        <f>SUM(I4:I203)</f>
        <v>0</v>
      </c>
      <c r="J3" s="19"/>
      <c r="K3" s="19"/>
    </row>
    <row r="4" spans="1:11" ht="16.5" customHeight="1" x14ac:dyDescent="0.25">
      <c r="A4" s="39">
        <v>1</v>
      </c>
      <c r="B4" s="40" t="s">
        <v>91</v>
      </c>
      <c r="C4" s="41" t="s">
        <v>92</v>
      </c>
      <c r="D4" s="42" t="s">
        <v>93</v>
      </c>
      <c r="E4" s="43" t="s">
        <v>85</v>
      </c>
      <c r="F4" s="44">
        <f t="shared" ref="F4:F35" si="0">IF(ISNUMBER(E4),E4,0)</f>
        <v>0</v>
      </c>
      <c r="G4" s="45" t="s">
        <v>86</v>
      </c>
      <c r="H4" s="46">
        <f t="shared" ref="H4:H35" si="1">IF(ISNUMBER(E4),ROUND(E4*IF(G4="20%",0.2,IF(G4="5%",0.05,0)),2),0)</f>
        <v>0</v>
      </c>
      <c r="I4" s="43">
        <f t="shared" ref="I4:I35" si="2">IF(ISNUMBER(E4),E4+H4,0)</f>
        <v>0</v>
      </c>
      <c r="J4" s="41" t="s">
        <v>94</v>
      </c>
      <c r="K4" s="41" t="s">
        <v>95</v>
      </c>
    </row>
    <row r="5" spans="1:11" ht="16.5" customHeight="1" x14ac:dyDescent="0.25">
      <c r="A5" s="39">
        <v>2</v>
      </c>
      <c r="B5" s="40"/>
      <c r="C5" s="41"/>
      <c r="D5" s="42"/>
      <c r="E5" s="43"/>
      <c r="F5" s="47">
        <f t="shared" si="0"/>
        <v>0</v>
      </c>
      <c r="G5" s="45" t="s">
        <v>86</v>
      </c>
      <c r="H5" s="46">
        <f t="shared" si="1"/>
        <v>0</v>
      </c>
      <c r="I5" s="43">
        <f t="shared" si="2"/>
        <v>0</v>
      </c>
      <c r="J5" s="41"/>
      <c r="K5" s="41" t="s">
        <v>95</v>
      </c>
    </row>
    <row r="6" spans="1:11" ht="16.5" customHeight="1" x14ac:dyDescent="0.25">
      <c r="A6" s="39">
        <v>3</v>
      </c>
      <c r="B6" s="40"/>
      <c r="C6" s="41"/>
      <c r="D6" s="42"/>
      <c r="E6" s="43"/>
      <c r="F6" s="44">
        <f t="shared" si="0"/>
        <v>0</v>
      </c>
      <c r="G6" s="45" t="s">
        <v>86</v>
      </c>
      <c r="H6" s="46">
        <f t="shared" si="1"/>
        <v>0</v>
      </c>
      <c r="I6" s="43">
        <f t="shared" si="2"/>
        <v>0</v>
      </c>
      <c r="J6" s="41"/>
      <c r="K6" s="41" t="s">
        <v>95</v>
      </c>
    </row>
    <row r="7" spans="1:11" ht="16.5" customHeight="1" x14ac:dyDescent="0.25">
      <c r="A7" s="39">
        <v>4</v>
      </c>
      <c r="B7" s="40"/>
      <c r="C7" s="41"/>
      <c r="D7" s="42"/>
      <c r="E7" s="43"/>
      <c r="F7" s="47">
        <f t="shared" si="0"/>
        <v>0</v>
      </c>
      <c r="G7" s="45" t="s">
        <v>86</v>
      </c>
      <c r="H7" s="46">
        <f t="shared" si="1"/>
        <v>0</v>
      </c>
      <c r="I7" s="43">
        <f t="shared" si="2"/>
        <v>0</v>
      </c>
      <c r="J7" s="41"/>
      <c r="K7" s="41" t="s">
        <v>95</v>
      </c>
    </row>
    <row r="8" spans="1:11" ht="16.5" customHeight="1" x14ac:dyDescent="0.25">
      <c r="A8" s="39">
        <v>5</v>
      </c>
      <c r="B8" s="40"/>
      <c r="C8" s="41"/>
      <c r="D8" s="42"/>
      <c r="E8" s="43"/>
      <c r="F8" s="44">
        <f t="shared" si="0"/>
        <v>0</v>
      </c>
      <c r="G8" s="45" t="s">
        <v>86</v>
      </c>
      <c r="H8" s="46">
        <f t="shared" si="1"/>
        <v>0</v>
      </c>
      <c r="I8" s="43">
        <f t="shared" si="2"/>
        <v>0</v>
      </c>
      <c r="J8" s="41"/>
      <c r="K8" s="41" t="s">
        <v>95</v>
      </c>
    </row>
    <row r="9" spans="1:11" ht="16.5" customHeight="1" x14ac:dyDescent="0.25">
      <c r="A9" s="39">
        <v>6</v>
      </c>
      <c r="B9" s="40"/>
      <c r="C9" s="41"/>
      <c r="D9" s="42"/>
      <c r="E9" s="43"/>
      <c r="F9" s="47">
        <f t="shared" si="0"/>
        <v>0</v>
      </c>
      <c r="G9" s="45" t="s">
        <v>86</v>
      </c>
      <c r="H9" s="46">
        <f t="shared" si="1"/>
        <v>0</v>
      </c>
      <c r="I9" s="43">
        <f t="shared" si="2"/>
        <v>0</v>
      </c>
      <c r="J9" s="41"/>
      <c r="K9" s="41" t="s">
        <v>95</v>
      </c>
    </row>
    <row r="10" spans="1:11" ht="16.5" customHeight="1" x14ac:dyDescent="0.25">
      <c r="A10" s="39">
        <v>7</v>
      </c>
      <c r="B10" s="40"/>
      <c r="C10" s="41"/>
      <c r="D10" s="42"/>
      <c r="E10" s="43"/>
      <c r="F10" s="44">
        <f t="shared" si="0"/>
        <v>0</v>
      </c>
      <c r="G10" s="45" t="s">
        <v>86</v>
      </c>
      <c r="H10" s="46">
        <f t="shared" si="1"/>
        <v>0</v>
      </c>
      <c r="I10" s="43">
        <f t="shared" si="2"/>
        <v>0</v>
      </c>
      <c r="J10" s="41"/>
      <c r="K10" s="41" t="s">
        <v>95</v>
      </c>
    </row>
    <row r="11" spans="1:11" ht="16.5" customHeight="1" x14ac:dyDescent="0.25">
      <c r="A11" s="39">
        <v>8</v>
      </c>
      <c r="B11" s="40"/>
      <c r="C11" s="41"/>
      <c r="D11" s="42"/>
      <c r="E11" s="43"/>
      <c r="F11" s="47">
        <f t="shared" si="0"/>
        <v>0</v>
      </c>
      <c r="G11" s="45" t="s">
        <v>86</v>
      </c>
      <c r="H11" s="46">
        <f t="shared" si="1"/>
        <v>0</v>
      </c>
      <c r="I11" s="43">
        <f t="shared" si="2"/>
        <v>0</v>
      </c>
      <c r="J11" s="41"/>
      <c r="K11" s="41" t="s">
        <v>95</v>
      </c>
    </row>
    <row r="12" spans="1:11" ht="16.5" customHeight="1" x14ac:dyDescent="0.25">
      <c r="A12" s="39">
        <v>9</v>
      </c>
      <c r="B12" s="40"/>
      <c r="C12" s="41"/>
      <c r="D12" s="42"/>
      <c r="E12" s="43"/>
      <c r="F12" s="44">
        <f t="shared" si="0"/>
        <v>0</v>
      </c>
      <c r="G12" s="45" t="s">
        <v>86</v>
      </c>
      <c r="H12" s="46">
        <f t="shared" si="1"/>
        <v>0</v>
      </c>
      <c r="I12" s="43">
        <f t="shared" si="2"/>
        <v>0</v>
      </c>
      <c r="J12" s="41"/>
      <c r="K12" s="41" t="s">
        <v>95</v>
      </c>
    </row>
    <row r="13" spans="1:11" ht="16.5" customHeight="1" x14ac:dyDescent="0.25">
      <c r="A13" s="39">
        <v>10</v>
      </c>
      <c r="B13" s="40"/>
      <c r="C13" s="41"/>
      <c r="D13" s="42"/>
      <c r="E13" s="43"/>
      <c r="F13" s="47">
        <f t="shared" si="0"/>
        <v>0</v>
      </c>
      <c r="G13" s="45" t="s">
        <v>86</v>
      </c>
      <c r="H13" s="46">
        <f t="shared" si="1"/>
        <v>0</v>
      </c>
      <c r="I13" s="43">
        <f t="shared" si="2"/>
        <v>0</v>
      </c>
      <c r="J13" s="41"/>
      <c r="K13" s="41" t="s">
        <v>95</v>
      </c>
    </row>
    <row r="14" spans="1:11" ht="16.5" customHeight="1" x14ac:dyDescent="0.25">
      <c r="A14" s="39">
        <v>11</v>
      </c>
      <c r="B14" s="40"/>
      <c r="C14" s="41"/>
      <c r="D14" s="42"/>
      <c r="E14" s="43"/>
      <c r="F14" s="44">
        <f t="shared" si="0"/>
        <v>0</v>
      </c>
      <c r="G14" s="45" t="s">
        <v>86</v>
      </c>
      <c r="H14" s="46">
        <f t="shared" si="1"/>
        <v>0</v>
      </c>
      <c r="I14" s="43">
        <f t="shared" si="2"/>
        <v>0</v>
      </c>
      <c r="J14" s="41"/>
      <c r="K14" s="41" t="s">
        <v>95</v>
      </c>
    </row>
    <row r="15" spans="1:11" ht="16.5" customHeight="1" x14ac:dyDescent="0.25">
      <c r="A15" s="39">
        <v>12</v>
      </c>
      <c r="B15" s="40"/>
      <c r="C15" s="41"/>
      <c r="D15" s="42"/>
      <c r="E15" s="43"/>
      <c r="F15" s="47">
        <f t="shared" si="0"/>
        <v>0</v>
      </c>
      <c r="G15" s="45" t="s">
        <v>86</v>
      </c>
      <c r="H15" s="46">
        <f t="shared" si="1"/>
        <v>0</v>
      </c>
      <c r="I15" s="43">
        <f t="shared" si="2"/>
        <v>0</v>
      </c>
      <c r="J15" s="41"/>
      <c r="K15" s="41" t="s">
        <v>95</v>
      </c>
    </row>
    <row r="16" spans="1:11" ht="16.5" customHeight="1" x14ac:dyDescent="0.25">
      <c r="A16" s="39">
        <v>13</v>
      </c>
      <c r="B16" s="40"/>
      <c r="C16" s="41"/>
      <c r="D16" s="42"/>
      <c r="E16" s="43"/>
      <c r="F16" s="44">
        <f t="shared" si="0"/>
        <v>0</v>
      </c>
      <c r="G16" s="45" t="s">
        <v>86</v>
      </c>
      <c r="H16" s="46">
        <f t="shared" si="1"/>
        <v>0</v>
      </c>
      <c r="I16" s="43">
        <f t="shared" si="2"/>
        <v>0</v>
      </c>
      <c r="J16" s="41"/>
      <c r="K16" s="41" t="s">
        <v>95</v>
      </c>
    </row>
    <row r="17" spans="1:11" ht="16.5" customHeight="1" x14ac:dyDescent="0.25">
      <c r="A17" s="39">
        <v>14</v>
      </c>
      <c r="B17" s="40"/>
      <c r="C17" s="41"/>
      <c r="D17" s="42"/>
      <c r="E17" s="43"/>
      <c r="F17" s="47">
        <f t="shared" si="0"/>
        <v>0</v>
      </c>
      <c r="G17" s="45" t="s">
        <v>86</v>
      </c>
      <c r="H17" s="46">
        <f t="shared" si="1"/>
        <v>0</v>
      </c>
      <c r="I17" s="43">
        <f t="shared" si="2"/>
        <v>0</v>
      </c>
      <c r="J17" s="41"/>
      <c r="K17" s="41" t="s">
        <v>95</v>
      </c>
    </row>
    <row r="18" spans="1:11" ht="16.5" customHeight="1" x14ac:dyDescent="0.25">
      <c r="A18" s="39">
        <v>15</v>
      </c>
      <c r="B18" s="40"/>
      <c r="C18" s="41"/>
      <c r="D18" s="42"/>
      <c r="E18" s="43"/>
      <c r="F18" s="44">
        <f t="shared" si="0"/>
        <v>0</v>
      </c>
      <c r="G18" s="45" t="s">
        <v>86</v>
      </c>
      <c r="H18" s="46">
        <f t="shared" si="1"/>
        <v>0</v>
      </c>
      <c r="I18" s="43">
        <f t="shared" si="2"/>
        <v>0</v>
      </c>
      <c r="J18" s="41"/>
      <c r="K18" s="41" t="s">
        <v>95</v>
      </c>
    </row>
    <row r="19" spans="1:11" ht="16.5" customHeight="1" x14ac:dyDescent="0.25">
      <c r="A19" s="39">
        <v>16</v>
      </c>
      <c r="B19" s="40"/>
      <c r="C19" s="41"/>
      <c r="D19" s="42"/>
      <c r="E19" s="43"/>
      <c r="F19" s="47">
        <f t="shared" si="0"/>
        <v>0</v>
      </c>
      <c r="G19" s="45" t="s">
        <v>86</v>
      </c>
      <c r="H19" s="46">
        <f t="shared" si="1"/>
        <v>0</v>
      </c>
      <c r="I19" s="43">
        <f t="shared" si="2"/>
        <v>0</v>
      </c>
      <c r="J19" s="41"/>
      <c r="K19" s="41" t="s">
        <v>95</v>
      </c>
    </row>
    <row r="20" spans="1:11" ht="16.5" customHeight="1" x14ac:dyDescent="0.25">
      <c r="A20" s="39">
        <v>17</v>
      </c>
      <c r="B20" s="40"/>
      <c r="C20" s="41"/>
      <c r="D20" s="42"/>
      <c r="E20" s="43"/>
      <c r="F20" s="44">
        <f t="shared" si="0"/>
        <v>0</v>
      </c>
      <c r="G20" s="45" t="s">
        <v>86</v>
      </c>
      <c r="H20" s="46">
        <f t="shared" si="1"/>
        <v>0</v>
      </c>
      <c r="I20" s="43">
        <f t="shared" si="2"/>
        <v>0</v>
      </c>
      <c r="J20" s="41"/>
      <c r="K20" s="41" t="s">
        <v>95</v>
      </c>
    </row>
    <row r="21" spans="1:11" ht="16.5" customHeight="1" x14ac:dyDescent="0.25">
      <c r="A21" s="39">
        <v>18</v>
      </c>
      <c r="B21" s="40"/>
      <c r="C21" s="41"/>
      <c r="D21" s="42"/>
      <c r="E21" s="43"/>
      <c r="F21" s="47">
        <f t="shared" si="0"/>
        <v>0</v>
      </c>
      <c r="G21" s="45" t="s">
        <v>86</v>
      </c>
      <c r="H21" s="46">
        <f t="shared" si="1"/>
        <v>0</v>
      </c>
      <c r="I21" s="43">
        <f t="shared" si="2"/>
        <v>0</v>
      </c>
      <c r="J21" s="41"/>
      <c r="K21" s="41" t="s">
        <v>95</v>
      </c>
    </row>
    <row r="22" spans="1:11" ht="16.5" customHeight="1" x14ac:dyDescent="0.25">
      <c r="A22" s="39">
        <v>19</v>
      </c>
      <c r="B22" s="40"/>
      <c r="C22" s="41"/>
      <c r="D22" s="42"/>
      <c r="E22" s="43"/>
      <c r="F22" s="44">
        <f t="shared" si="0"/>
        <v>0</v>
      </c>
      <c r="G22" s="45" t="s">
        <v>86</v>
      </c>
      <c r="H22" s="46">
        <f t="shared" si="1"/>
        <v>0</v>
      </c>
      <c r="I22" s="43">
        <f t="shared" si="2"/>
        <v>0</v>
      </c>
      <c r="J22" s="41"/>
      <c r="K22" s="41" t="s">
        <v>95</v>
      </c>
    </row>
    <row r="23" spans="1:11" ht="16.5" customHeight="1" x14ac:dyDescent="0.25">
      <c r="A23" s="39">
        <v>20</v>
      </c>
      <c r="B23" s="40"/>
      <c r="C23" s="41"/>
      <c r="D23" s="42"/>
      <c r="E23" s="43"/>
      <c r="F23" s="47">
        <f t="shared" si="0"/>
        <v>0</v>
      </c>
      <c r="G23" s="45" t="s">
        <v>86</v>
      </c>
      <c r="H23" s="46">
        <f t="shared" si="1"/>
        <v>0</v>
      </c>
      <c r="I23" s="43">
        <f t="shared" si="2"/>
        <v>0</v>
      </c>
      <c r="J23" s="41"/>
      <c r="K23" s="41" t="s">
        <v>95</v>
      </c>
    </row>
    <row r="24" spans="1:11" ht="16.5" customHeight="1" x14ac:dyDescent="0.25">
      <c r="A24" s="39">
        <v>21</v>
      </c>
      <c r="B24" s="40"/>
      <c r="C24" s="41"/>
      <c r="D24" s="42"/>
      <c r="E24" s="43"/>
      <c r="F24" s="44">
        <f t="shared" si="0"/>
        <v>0</v>
      </c>
      <c r="G24" s="45" t="s">
        <v>86</v>
      </c>
      <c r="H24" s="46">
        <f t="shared" si="1"/>
        <v>0</v>
      </c>
      <c r="I24" s="43">
        <f t="shared" si="2"/>
        <v>0</v>
      </c>
      <c r="J24" s="41"/>
      <c r="K24" s="41" t="s">
        <v>95</v>
      </c>
    </row>
    <row r="25" spans="1:11" ht="16.5" customHeight="1" x14ac:dyDescent="0.25">
      <c r="A25" s="39">
        <v>22</v>
      </c>
      <c r="B25" s="40"/>
      <c r="C25" s="41"/>
      <c r="D25" s="42"/>
      <c r="E25" s="43"/>
      <c r="F25" s="47">
        <f t="shared" si="0"/>
        <v>0</v>
      </c>
      <c r="G25" s="45" t="s">
        <v>86</v>
      </c>
      <c r="H25" s="46">
        <f t="shared" si="1"/>
        <v>0</v>
      </c>
      <c r="I25" s="43">
        <f t="shared" si="2"/>
        <v>0</v>
      </c>
      <c r="J25" s="41"/>
      <c r="K25" s="41" t="s">
        <v>95</v>
      </c>
    </row>
    <row r="26" spans="1:11" ht="16.5" customHeight="1" x14ac:dyDescent="0.25">
      <c r="A26" s="39">
        <v>23</v>
      </c>
      <c r="B26" s="40"/>
      <c r="C26" s="41"/>
      <c r="D26" s="42"/>
      <c r="E26" s="43"/>
      <c r="F26" s="44">
        <f t="shared" si="0"/>
        <v>0</v>
      </c>
      <c r="G26" s="45" t="s">
        <v>86</v>
      </c>
      <c r="H26" s="46">
        <f t="shared" si="1"/>
        <v>0</v>
      </c>
      <c r="I26" s="43">
        <f t="shared" si="2"/>
        <v>0</v>
      </c>
      <c r="J26" s="41"/>
      <c r="K26" s="41" t="s">
        <v>95</v>
      </c>
    </row>
    <row r="27" spans="1:11" ht="16.5" customHeight="1" x14ac:dyDescent="0.25">
      <c r="A27" s="39">
        <v>24</v>
      </c>
      <c r="B27" s="40"/>
      <c r="C27" s="41"/>
      <c r="D27" s="42"/>
      <c r="E27" s="43"/>
      <c r="F27" s="47">
        <f t="shared" si="0"/>
        <v>0</v>
      </c>
      <c r="G27" s="45" t="s">
        <v>86</v>
      </c>
      <c r="H27" s="46">
        <f t="shared" si="1"/>
        <v>0</v>
      </c>
      <c r="I27" s="43">
        <f t="shared" si="2"/>
        <v>0</v>
      </c>
      <c r="J27" s="41"/>
      <c r="K27" s="41" t="s">
        <v>95</v>
      </c>
    </row>
    <row r="28" spans="1:11" ht="16.5" customHeight="1" x14ac:dyDescent="0.25">
      <c r="A28" s="39">
        <v>25</v>
      </c>
      <c r="B28" s="40"/>
      <c r="C28" s="41"/>
      <c r="D28" s="42"/>
      <c r="E28" s="43"/>
      <c r="F28" s="44">
        <f t="shared" si="0"/>
        <v>0</v>
      </c>
      <c r="G28" s="45" t="s">
        <v>86</v>
      </c>
      <c r="H28" s="46">
        <f t="shared" si="1"/>
        <v>0</v>
      </c>
      <c r="I28" s="43">
        <f t="shared" si="2"/>
        <v>0</v>
      </c>
      <c r="J28" s="41"/>
      <c r="K28" s="41" t="s">
        <v>95</v>
      </c>
    </row>
    <row r="29" spans="1:11" ht="16.5" customHeight="1" x14ac:dyDescent="0.25">
      <c r="A29" s="39">
        <v>26</v>
      </c>
      <c r="B29" s="40"/>
      <c r="C29" s="41"/>
      <c r="D29" s="42"/>
      <c r="E29" s="43"/>
      <c r="F29" s="47">
        <f t="shared" si="0"/>
        <v>0</v>
      </c>
      <c r="G29" s="45" t="s">
        <v>86</v>
      </c>
      <c r="H29" s="46">
        <f t="shared" si="1"/>
        <v>0</v>
      </c>
      <c r="I29" s="43">
        <f t="shared" si="2"/>
        <v>0</v>
      </c>
      <c r="J29" s="41"/>
      <c r="K29" s="41" t="s">
        <v>95</v>
      </c>
    </row>
    <row r="30" spans="1:11" ht="16.5" customHeight="1" x14ac:dyDescent="0.25">
      <c r="A30" s="39">
        <v>27</v>
      </c>
      <c r="B30" s="40"/>
      <c r="C30" s="41"/>
      <c r="D30" s="42"/>
      <c r="E30" s="43"/>
      <c r="F30" s="44">
        <f t="shared" si="0"/>
        <v>0</v>
      </c>
      <c r="G30" s="45" t="s">
        <v>86</v>
      </c>
      <c r="H30" s="46">
        <f t="shared" si="1"/>
        <v>0</v>
      </c>
      <c r="I30" s="43">
        <f t="shared" si="2"/>
        <v>0</v>
      </c>
      <c r="J30" s="41"/>
      <c r="K30" s="41" t="s">
        <v>95</v>
      </c>
    </row>
    <row r="31" spans="1:11" ht="16.5" customHeight="1" x14ac:dyDescent="0.25">
      <c r="A31" s="39">
        <v>28</v>
      </c>
      <c r="B31" s="40"/>
      <c r="C31" s="41"/>
      <c r="D31" s="42"/>
      <c r="E31" s="43"/>
      <c r="F31" s="47">
        <f t="shared" si="0"/>
        <v>0</v>
      </c>
      <c r="G31" s="45" t="s">
        <v>86</v>
      </c>
      <c r="H31" s="46">
        <f t="shared" si="1"/>
        <v>0</v>
      </c>
      <c r="I31" s="43">
        <f t="shared" si="2"/>
        <v>0</v>
      </c>
      <c r="J31" s="41"/>
      <c r="K31" s="41" t="s">
        <v>95</v>
      </c>
    </row>
    <row r="32" spans="1:11" ht="16.5" customHeight="1" x14ac:dyDescent="0.25">
      <c r="A32" s="39">
        <v>29</v>
      </c>
      <c r="B32" s="40"/>
      <c r="C32" s="41"/>
      <c r="D32" s="42"/>
      <c r="E32" s="43"/>
      <c r="F32" s="44">
        <f t="shared" si="0"/>
        <v>0</v>
      </c>
      <c r="G32" s="45" t="s">
        <v>86</v>
      </c>
      <c r="H32" s="46">
        <f t="shared" si="1"/>
        <v>0</v>
      </c>
      <c r="I32" s="43">
        <f t="shared" si="2"/>
        <v>0</v>
      </c>
      <c r="J32" s="41"/>
      <c r="K32" s="41" t="s">
        <v>95</v>
      </c>
    </row>
    <row r="33" spans="1:11" ht="16.5" customHeight="1" x14ac:dyDescent="0.25">
      <c r="A33" s="39">
        <v>30</v>
      </c>
      <c r="B33" s="40"/>
      <c r="C33" s="41"/>
      <c r="D33" s="42"/>
      <c r="E33" s="43"/>
      <c r="F33" s="47">
        <f t="shared" si="0"/>
        <v>0</v>
      </c>
      <c r="G33" s="45" t="s">
        <v>86</v>
      </c>
      <c r="H33" s="46">
        <f t="shared" si="1"/>
        <v>0</v>
      </c>
      <c r="I33" s="43">
        <f t="shared" si="2"/>
        <v>0</v>
      </c>
      <c r="J33" s="41"/>
      <c r="K33" s="41" t="s">
        <v>95</v>
      </c>
    </row>
    <row r="34" spans="1:11" ht="16.5" customHeight="1" x14ac:dyDescent="0.25">
      <c r="A34" s="39">
        <v>31</v>
      </c>
      <c r="B34" s="40"/>
      <c r="C34" s="41"/>
      <c r="D34" s="42"/>
      <c r="E34" s="43"/>
      <c r="F34" s="44">
        <f t="shared" si="0"/>
        <v>0</v>
      </c>
      <c r="G34" s="45" t="s">
        <v>86</v>
      </c>
      <c r="H34" s="46">
        <f t="shared" si="1"/>
        <v>0</v>
      </c>
      <c r="I34" s="43">
        <f t="shared" si="2"/>
        <v>0</v>
      </c>
      <c r="J34" s="41"/>
      <c r="K34" s="41" t="s">
        <v>95</v>
      </c>
    </row>
    <row r="35" spans="1:11" ht="16.5" customHeight="1" x14ac:dyDescent="0.25">
      <c r="A35" s="39">
        <v>32</v>
      </c>
      <c r="B35" s="40"/>
      <c r="C35" s="41"/>
      <c r="D35" s="42"/>
      <c r="E35" s="43"/>
      <c r="F35" s="47">
        <f t="shared" si="0"/>
        <v>0</v>
      </c>
      <c r="G35" s="45" t="s">
        <v>86</v>
      </c>
      <c r="H35" s="46">
        <f t="shared" si="1"/>
        <v>0</v>
      </c>
      <c r="I35" s="43">
        <f t="shared" si="2"/>
        <v>0</v>
      </c>
      <c r="J35" s="41"/>
      <c r="K35" s="41" t="s">
        <v>95</v>
      </c>
    </row>
    <row r="36" spans="1:11" ht="16.5" customHeight="1" x14ac:dyDescent="0.25">
      <c r="A36" s="39">
        <v>33</v>
      </c>
      <c r="B36" s="40"/>
      <c r="C36" s="41"/>
      <c r="D36" s="42"/>
      <c r="E36" s="43"/>
      <c r="F36" s="44">
        <f t="shared" ref="F36:F67" si="3">IF(ISNUMBER(E36),E36,0)</f>
        <v>0</v>
      </c>
      <c r="G36" s="45" t="s">
        <v>86</v>
      </c>
      <c r="H36" s="46">
        <f t="shared" ref="H36:H67" si="4">IF(ISNUMBER(E36),ROUND(E36*IF(G36="20%",0.2,IF(G36="5%",0.05,0)),2),0)</f>
        <v>0</v>
      </c>
      <c r="I36" s="43">
        <f t="shared" ref="I36:I67" si="5">IF(ISNUMBER(E36),E36+H36,0)</f>
        <v>0</v>
      </c>
      <c r="J36" s="41"/>
      <c r="K36" s="41" t="s">
        <v>95</v>
      </c>
    </row>
    <row r="37" spans="1:11" ht="16.5" customHeight="1" x14ac:dyDescent="0.25">
      <c r="A37" s="39">
        <v>34</v>
      </c>
      <c r="B37" s="40"/>
      <c r="C37" s="41"/>
      <c r="D37" s="42"/>
      <c r="E37" s="43"/>
      <c r="F37" s="47">
        <f t="shared" si="3"/>
        <v>0</v>
      </c>
      <c r="G37" s="45" t="s">
        <v>86</v>
      </c>
      <c r="H37" s="46">
        <f t="shared" si="4"/>
        <v>0</v>
      </c>
      <c r="I37" s="43">
        <f t="shared" si="5"/>
        <v>0</v>
      </c>
      <c r="J37" s="41"/>
      <c r="K37" s="41" t="s">
        <v>95</v>
      </c>
    </row>
    <row r="38" spans="1:11" ht="16.5" customHeight="1" x14ac:dyDescent="0.25">
      <c r="A38" s="39">
        <v>35</v>
      </c>
      <c r="B38" s="40"/>
      <c r="C38" s="41"/>
      <c r="D38" s="42"/>
      <c r="E38" s="43"/>
      <c r="F38" s="44">
        <f t="shared" si="3"/>
        <v>0</v>
      </c>
      <c r="G38" s="45" t="s">
        <v>86</v>
      </c>
      <c r="H38" s="46">
        <f t="shared" si="4"/>
        <v>0</v>
      </c>
      <c r="I38" s="43">
        <f t="shared" si="5"/>
        <v>0</v>
      </c>
      <c r="J38" s="41"/>
      <c r="K38" s="41" t="s">
        <v>95</v>
      </c>
    </row>
    <row r="39" spans="1:11" ht="16.5" customHeight="1" x14ac:dyDescent="0.25">
      <c r="A39" s="39">
        <v>36</v>
      </c>
      <c r="B39" s="40"/>
      <c r="C39" s="41"/>
      <c r="D39" s="42"/>
      <c r="E39" s="43"/>
      <c r="F39" s="47">
        <f t="shared" si="3"/>
        <v>0</v>
      </c>
      <c r="G39" s="45" t="s">
        <v>86</v>
      </c>
      <c r="H39" s="46">
        <f t="shared" si="4"/>
        <v>0</v>
      </c>
      <c r="I39" s="43">
        <f t="shared" si="5"/>
        <v>0</v>
      </c>
      <c r="J39" s="41"/>
      <c r="K39" s="41" t="s">
        <v>95</v>
      </c>
    </row>
    <row r="40" spans="1:11" ht="16.5" customHeight="1" x14ac:dyDescent="0.25">
      <c r="A40" s="39">
        <v>37</v>
      </c>
      <c r="B40" s="40"/>
      <c r="C40" s="41"/>
      <c r="D40" s="42"/>
      <c r="E40" s="43"/>
      <c r="F40" s="44">
        <f t="shared" si="3"/>
        <v>0</v>
      </c>
      <c r="G40" s="45" t="s">
        <v>86</v>
      </c>
      <c r="H40" s="46">
        <f t="shared" si="4"/>
        <v>0</v>
      </c>
      <c r="I40" s="43">
        <f t="shared" si="5"/>
        <v>0</v>
      </c>
      <c r="J40" s="41"/>
      <c r="K40" s="41" t="s">
        <v>95</v>
      </c>
    </row>
    <row r="41" spans="1:11" ht="16.5" customHeight="1" x14ac:dyDescent="0.25">
      <c r="A41" s="39">
        <v>38</v>
      </c>
      <c r="B41" s="40"/>
      <c r="C41" s="41"/>
      <c r="D41" s="42"/>
      <c r="E41" s="43"/>
      <c r="F41" s="47">
        <f t="shared" si="3"/>
        <v>0</v>
      </c>
      <c r="G41" s="45" t="s">
        <v>86</v>
      </c>
      <c r="H41" s="46">
        <f t="shared" si="4"/>
        <v>0</v>
      </c>
      <c r="I41" s="43">
        <f t="shared" si="5"/>
        <v>0</v>
      </c>
      <c r="J41" s="41"/>
      <c r="K41" s="41" t="s">
        <v>95</v>
      </c>
    </row>
    <row r="42" spans="1:11" ht="16.5" customHeight="1" x14ac:dyDescent="0.25">
      <c r="A42" s="39">
        <v>39</v>
      </c>
      <c r="B42" s="40"/>
      <c r="C42" s="41"/>
      <c r="D42" s="42"/>
      <c r="E42" s="43"/>
      <c r="F42" s="44">
        <f t="shared" si="3"/>
        <v>0</v>
      </c>
      <c r="G42" s="45" t="s">
        <v>86</v>
      </c>
      <c r="H42" s="46">
        <f t="shared" si="4"/>
        <v>0</v>
      </c>
      <c r="I42" s="43">
        <f t="shared" si="5"/>
        <v>0</v>
      </c>
      <c r="J42" s="41"/>
      <c r="K42" s="41" t="s">
        <v>95</v>
      </c>
    </row>
    <row r="43" spans="1:11" ht="16.5" customHeight="1" x14ac:dyDescent="0.25">
      <c r="A43" s="39">
        <v>40</v>
      </c>
      <c r="B43" s="40"/>
      <c r="C43" s="41"/>
      <c r="D43" s="42"/>
      <c r="E43" s="43"/>
      <c r="F43" s="47">
        <f t="shared" si="3"/>
        <v>0</v>
      </c>
      <c r="G43" s="45" t="s">
        <v>86</v>
      </c>
      <c r="H43" s="46">
        <f t="shared" si="4"/>
        <v>0</v>
      </c>
      <c r="I43" s="43">
        <f t="shared" si="5"/>
        <v>0</v>
      </c>
      <c r="J43" s="41"/>
      <c r="K43" s="41" t="s">
        <v>95</v>
      </c>
    </row>
    <row r="44" spans="1:11" ht="16.5" customHeight="1" x14ac:dyDescent="0.25">
      <c r="A44" s="39">
        <v>41</v>
      </c>
      <c r="B44" s="40"/>
      <c r="C44" s="41"/>
      <c r="D44" s="42"/>
      <c r="E44" s="43"/>
      <c r="F44" s="44">
        <f t="shared" si="3"/>
        <v>0</v>
      </c>
      <c r="G44" s="45" t="s">
        <v>86</v>
      </c>
      <c r="H44" s="46">
        <f t="shared" si="4"/>
        <v>0</v>
      </c>
      <c r="I44" s="43">
        <f t="shared" si="5"/>
        <v>0</v>
      </c>
      <c r="J44" s="41"/>
      <c r="K44" s="41" t="s">
        <v>95</v>
      </c>
    </row>
    <row r="45" spans="1:11" ht="16.5" customHeight="1" x14ac:dyDescent="0.25">
      <c r="A45" s="39">
        <v>42</v>
      </c>
      <c r="B45" s="40"/>
      <c r="C45" s="41"/>
      <c r="D45" s="42"/>
      <c r="E45" s="43"/>
      <c r="F45" s="47">
        <f t="shared" si="3"/>
        <v>0</v>
      </c>
      <c r="G45" s="45" t="s">
        <v>86</v>
      </c>
      <c r="H45" s="46">
        <f t="shared" si="4"/>
        <v>0</v>
      </c>
      <c r="I45" s="43">
        <f t="shared" si="5"/>
        <v>0</v>
      </c>
      <c r="J45" s="41"/>
      <c r="K45" s="41" t="s">
        <v>95</v>
      </c>
    </row>
    <row r="46" spans="1:11" ht="16.5" customHeight="1" x14ac:dyDescent="0.25">
      <c r="A46" s="39">
        <v>43</v>
      </c>
      <c r="B46" s="40"/>
      <c r="C46" s="41"/>
      <c r="D46" s="42"/>
      <c r="E46" s="43"/>
      <c r="F46" s="44">
        <f t="shared" si="3"/>
        <v>0</v>
      </c>
      <c r="G46" s="45" t="s">
        <v>86</v>
      </c>
      <c r="H46" s="46">
        <f t="shared" si="4"/>
        <v>0</v>
      </c>
      <c r="I46" s="43">
        <f t="shared" si="5"/>
        <v>0</v>
      </c>
      <c r="J46" s="41"/>
      <c r="K46" s="41" t="s">
        <v>95</v>
      </c>
    </row>
    <row r="47" spans="1:11" ht="16.5" customHeight="1" x14ac:dyDescent="0.25">
      <c r="A47" s="39">
        <v>44</v>
      </c>
      <c r="B47" s="40"/>
      <c r="C47" s="41"/>
      <c r="D47" s="42"/>
      <c r="E47" s="43"/>
      <c r="F47" s="47">
        <f t="shared" si="3"/>
        <v>0</v>
      </c>
      <c r="G47" s="45" t="s">
        <v>86</v>
      </c>
      <c r="H47" s="46">
        <f t="shared" si="4"/>
        <v>0</v>
      </c>
      <c r="I47" s="43">
        <f t="shared" si="5"/>
        <v>0</v>
      </c>
      <c r="J47" s="41"/>
      <c r="K47" s="41" t="s">
        <v>95</v>
      </c>
    </row>
    <row r="48" spans="1:11" ht="16.5" customHeight="1" x14ac:dyDescent="0.25">
      <c r="A48" s="39">
        <v>45</v>
      </c>
      <c r="B48" s="40"/>
      <c r="C48" s="41"/>
      <c r="D48" s="42"/>
      <c r="E48" s="43"/>
      <c r="F48" s="44">
        <f t="shared" si="3"/>
        <v>0</v>
      </c>
      <c r="G48" s="45" t="s">
        <v>86</v>
      </c>
      <c r="H48" s="46">
        <f t="shared" si="4"/>
        <v>0</v>
      </c>
      <c r="I48" s="43">
        <f t="shared" si="5"/>
        <v>0</v>
      </c>
      <c r="J48" s="41"/>
      <c r="K48" s="41" t="s">
        <v>95</v>
      </c>
    </row>
    <row r="49" spans="1:11" ht="16.5" customHeight="1" x14ac:dyDescent="0.25">
      <c r="A49" s="39">
        <v>46</v>
      </c>
      <c r="B49" s="40"/>
      <c r="C49" s="41"/>
      <c r="D49" s="42"/>
      <c r="E49" s="43"/>
      <c r="F49" s="47">
        <f t="shared" si="3"/>
        <v>0</v>
      </c>
      <c r="G49" s="45" t="s">
        <v>86</v>
      </c>
      <c r="H49" s="46">
        <f t="shared" si="4"/>
        <v>0</v>
      </c>
      <c r="I49" s="43">
        <f t="shared" si="5"/>
        <v>0</v>
      </c>
      <c r="J49" s="41"/>
      <c r="K49" s="41" t="s">
        <v>95</v>
      </c>
    </row>
    <row r="50" spans="1:11" ht="16.5" customHeight="1" x14ac:dyDescent="0.25">
      <c r="A50" s="39">
        <v>47</v>
      </c>
      <c r="B50" s="40"/>
      <c r="C50" s="41"/>
      <c r="D50" s="42"/>
      <c r="E50" s="43"/>
      <c r="F50" s="44">
        <f t="shared" si="3"/>
        <v>0</v>
      </c>
      <c r="G50" s="45" t="s">
        <v>86</v>
      </c>
      <c r="H50" s="46">
        <f t="shared" si="4"/>
        <v>0</v>
      </c>
      <c r="I50" s="43">
        <f t="shared" si="5"/>
        <v>0</v>
      </c>
      <c r="J50" s="41"/>
      <c r="K50" s="41" t="s">
        <v>95</v>
      </c>
    </row>
    <row r="51" spans="1:11" ht="16.5" customHeight="1" x14ac:dyDescent="0.25">
      <c r="A51" s="39">
        <v>48</v>
      </c>
      <c r="B51" s="40"/>
      <c r="C51" s="41"/>
      <c r="D51" s="42"/>
      <c r="E51" s="43"/>
      <c r="F51" s="47">
        <f t="shared" si="3"/>
        <v>0</v>
      </c>
      <c r="G51" s="45" t="s">
        <v>86</v>
      </c>
      <c r="H51" s="46">
        <f t="shared" si="4"/>
        <v>0</v>
      </c>
      <c r="I51" s="43">
        <f t="shared" si="5"/>
        <v>0</v>
      </c>
      <c r="J51" s="41"/>
      <c r="K51" s="41" t="s">
        <v>95</v>
      </c>
    </row>
    <row r="52" spans="1:11" ht="16.5" customHeight="1" x14ac:dyDescent="0.25">
      <c r="A52" s="39">
        <v>49</v>
      </c>
      <c r="B52" s="40"/>
      <c r="C52" s="41"/>
      <c r="D52" s="42"/>
      <c r="E52" s="43"/>
      <c r="F52" s="44">
        <f t="shared" si="3"/>
        <v>0</v>
      </c>
      <c r="G52" s="45" t="s">
        <v>86</v>
      </c>
      <c r="H52" s="46">
        <f t="shared" si="4"/>
        <v>0</v>
      </c>
      <c r="I52" s="43">
        <f t="shared" si="5"/>
        <v>0</v>
      </c>
      <c r="J52" s="41"/>
      <c r="K52" s="41" t="s">
        <v>95</v>
      </c>
    </row>
    <row r="53" spans="1:11" ht="16.5" customHeight="1" x14ac:dyDescent="0.25">
      <c r="A53" s="39">
        <v>50</v>
      </c>
      <c r="B53" s="40"/>
      <c r="C53" s="41"/>
      <c r="D53" s="42"/>
      <c r="E53" s="43"/>
      <c r="F53" s="47">
        <f t="shared" si="3"/>
        <v>0</v>
      </c>
      <c r="G53" s="45" t="s">
        <v>86</v>
      </c>
      <c r="H53" s="46">
        <f t="shared" si="4"/>
        <v>0</v>
      </c>
      <c r="I53" s="43">
        <f t="shared" si="5"/>
        <v>0</v>
      </c>
      <c r="J53" s="41"/>
      <c r="K53" s="41" t="s">
        <v>95</v>
      </c>
    </row>
    <row r="54" spans="1:11" ht="16.5" customHeight="1" x14ac:dyDescent="0.25">
      <c r="A54" s="39">
        <v>51</v>
      </c>
      <c r="B54" s="40"/>
      <c r="C54" s="41"/>
      <c r="D54" s="42"/>
      <c r="E54" s="43"/>
      <c r="F54" s="44">
        <f t="shared" si="3"/>
        <v>0</v>
      </c>
      <c r="G54" s="45" t="s">
        <v>86</v>
      </c>
      <c r="H54" s="46">
        <f t="shared" si="4"/>
        <v>0</v>
      </c>
      <c r="I54" s="43">
        <f t="shared" si="5"/>
        <v>0</v>
      </c>
      <c r="J54" s="41"/>
      <c r="K54" s="41" t="s">
        <v>95</v>
      </c>
    </row>
    <row r="55" spans="1:11" ht="16.5" customHeight="1" x14ac:dyDescent="0.25">
      <c r="A55" s="39">
        <v>52</v>
      </c>
      <c r="B55" s="40"/>
      <c r="C55" s="41"/>
      <c r="D55" s="42"/>
      <c r="E55" s="43"/>
      <c r="F55" s="47">
        <f t="shared" si="3"/>
        <v>0</v>
      </c>
      <c r="G55" s="45" t="s">
        <v>86</v>
      </c>
      <c r="H55" s="46">
        <f t="shared" si="4"/>
        <v>0</v>
      </c>
      <c r="I55" s="43">
        <f t="shared" si="5"/>
        <v>0</v>
      </c>
      <c r="J55" s="41"/>
      <c r="K55" s="41" t="s">
        <v>95</v>
      </c>
    </row>
    <row r="56" spans="1:11" ht="16.5" customHeight="1" x14ac:dyDescent="0.25">
      <c r="A56" s="39">
        <v>53</v>
      </c>
      <c r="B56" s="40"/>
      <c r="C56" s="41"/>
      <c r="D56" s="42"/>
      <c r="E56" s="43"/>
      <c r="F56" s="44">
        <f t="shared" si="3"/>
        <v>0</v>
      </c>
      <c r="G56" s="45" t="s">
        <v>86</v>
      </c>
      <c r="H56" s="46">
        <f t="shared" si="4"/>
        <v>0</v>
      </c>
      <c r="I56" s="43">
        <f t="shared" si="5"/>
        <v>0</v>
      </c>
      <c r="J56" s="41"/>
      <c r="K56" s="41" t="s">
        <v>95</v>
      </c>
    </row>
    <row r="57" spans="1:11" ht="16.5" customHeight="1" x14ac:dyDescent="0.25">
      <c r="A57" s="39">
        <v>54</v>
      </c>
      <c r="B57" s="40"/>
      <c r="C57" s="41"/>
      <c r="D57" s="42"/>
      <c r="E57" s="43"/>
      <c r="F57" s="47">
        <f t="shared" si="3"/>
        <v>0</v>
      </c>
      <c r="G57" s="45" t="s">
        <v>86</v>
      </c>
      <c r="H57" s="46">
        <f t="shared" si="4"/>
        <v>0</v>
      </c>
      <c r="I57" s="43">
        <f t="shared" si="5"/>
        <v>0</v>
      </c>
      <c r="J57" s="41"/>
      <c r="K57" s="41" t="s">
        <v>95</v>
      </c>
    </row>
    <row r="58" spans="1:11" ht="16.5" customHeight="1" x14ac:dyDescent="0.25">
      <c r="A58" s="39">
        <v>55</v>
      </c>
      <c r="B58" s="40"/>
      <c r="C58" s="41"/>
      <c r="D58" s="42"/>
      <c r="E58" s="43"/>
      <c r="F58" s="44">
        <f t="shared" si="3"/>
        <v>0</v>
      </c>
      <c r="G58" s="45" t="s">
        <v>86</v>
      </c>
      <c r="H58" s="46">
        <f t="shared" si="4"/>
        <v>0</v>
      </c>
      <c r="I58" s="43">
        <f t="shared" si="5"/>
        <v>0</v>
      </c>
      <c r="J58" s="41"/>
      <c r="K58" s="41" t="s">
        <v>95</v>
      </c>
    </row>
    <row r="59" spans="1:11" ht="16.5" customHeight="1" x14ac:dyDescent="0.25">
      <c r="A59" s="39">
        <v>56</v>
      </c>
      <c r="B59" s="40"/>
      <c r="C59" s="41"/>
      <c r="D59" s="42"/>
      <c r="E59" s="43"/>
      <c r="F59" s="47">
        <f t="shared" si="3"/>
        <v>0</v>
      </c>
      <c r="G59" s="45" t="s">
        <v>86</v>
      </c>
      <c r="H59" s="46">
        <f t="shared" si="4"/>
        <v>0</v>
      </c>
      <c r="I59" s="43">
        <f t="shared" si="5"/>
        <v>0</v>
      </c>
      <c r="J59" s="41"/>
      <c r="K59" s="41" t="s">
        <v>95</v>
      </c>
    </row>
    <row r="60" spans="1:11" ht="16.5" customHeight="1" x14ac:dyDescent="0.25">
      <c r="A60" s="39">
        <v>57</v>
      </c>
      <c r="B60" s="40"/>
      <c r="C60" s="41"/>
      <c r="D60" s="42"/>
      <c r="E60" s="43"/>
      <c r="F60" s="44">
        <f t="shared" si="3"/>
        <v>0</v>
      </c>
      <c r="G60" s="45" t="s">
        <v>86</v>
      </c>
      <c r="H60" s="46">
        <f t="shared" si="4"/>
        <v>0</v>
      </c>
      <c r="I60" s="43">
        <f t="shared" si="5"/>
        <v>0</v>
      </c>
      <c r="J60" s="41"/>
      <c r="K60" s="41" t="s">
        <v>95</v>
      </c>
    </row>
    <row r="61" spans="1:11" ht="16.5" customHeight="1" x14ac:dyDescent="0.25">
      <c r="A61" s="39">
        <v>58</v>
      </c>
      <c r="B61" s="40"/>
      <c r="C61" s="41"/>
      <c r="D61" s="42"/>
      <c r="E61" s="43"/>
      <c r="F61" s="47">
        <f t="shared" si="3"/>
        <v>0</v>
      </c>
      <c r="G61" s="45" t="s">
        <v>86</v>
      </c>
      <c r="H61" s="46">
        <f t="shared" si="4"/>
        <v>0</v>
      </c>
      <c r="I61" s="43">
        <f t="shared" si="5"/>
        <v>0</v>
      </c>
      <c r="J61" s="41"/>
      <c r="K61" s="41" t="s">
        <v>95</v>
      </c>
    </row>
    <row r="62" spans="1:11" ht="16.5" customHeight="1" x14ac:dyDescent="0.25">
      <c r="A62" s="39">
        <v>59</v>
      </c>
      <c r="B62" s="40"/>
      <c r="C62" s="41"/>
      <c r="D62" s="42"/>
      <c r="E62" s="43"/>
      <c r="F62" s="44">
        <f t="shared" si="3"/>
        <v>0</v>
      </c>
      <c r="G62" s="45" t="s">
        <v>86</v>
      </c>
      <c r="H62" s="46">
        <f t="shared" si="4"/>
        <v>0</v>
      </c>
      <c r="I62" s="43">
        <f t="shared" si="5"/>
        <v>0</v>
      </c>
      <c r="J62" s="41"/>
      <c r="K62" s="41" t="s">
        <v>95</v>
      </c>
    </row>
    <row r="63" spans="1:11" ht="16.5" customHeight="1" x14ac:dyDescent="0.25">
      <c r="A63" s="39">
        <v>60</v>
      </c>
      <c r="B63" s="40"/>
      <c r="C63" s="41"/>
      <c r="D63" s="42"/>
      <c r="E63" s="43"/>
      <c r="F63" s="47">
        <f t="shared" si="3"/>
        <v>0</v>
      </c>
      <c r="G63" s="45" t="s">
        <v>86</v>
      </c>
      <c r="H63" s="46">
        <f t="shared" si="4"/>
        <v>0</v>
      </c>
      <c r="I63" s="43">
        <f t="shared" si="5"/>
        <v>0</v>
      </c>
      <c r="J63" s="41"/>
      <c r="K63" s="41" t="s">
        <v>95</v>
      </c>
    </row>
    <row r="64" spans="1:11" ht="16.5" customHeight="1" x14ac:dyDescent="0.25">
      <c r="A64" s="39">
        <v>61</v>
      </c>
      <c r="B64" s="40"/>
      <c r="C64" s="41"/>
      <c r="D64" s="42"/>
      <c r="E64" s="43"/>
      <c r="F64" s="44">
        <f t="shared" si="3"/>
        <v>0</v>
      </c>
      <c r="G64" s="45" t="s">
        <v>86</v>
      </c>
      <c r="H64" s="46">
        <f t="shared" si="4"/>
        <v>0</v>
      </c>
      <c r="I64" s="43">
        <f t="shared" si="5"/>
        <v>0</v>
      </c>
      <c r="J64" s="41"/>
      <c r="K64" s="41" t="s">
        <v>95</v>
      </c>
    </row>
    <row r="65" spans="1:11" ht="16.5" customHeight="1" x14ac:dyDescent="0.25">
      <c r="A65" s="39">
        <v>62</v>
      </c>
      <c r="B65" s="40"/>
      <c r="C65" s="41"/>
      <c r="D65" s="42"/>
      <c r="E65" s="43"/>
      <c r="F65" s="47">
        <f t="shared" si="3"/>
        <v>0</v>
      </c>
      <c r="G65" s="45" t="s">
        <v>86</v>
      </c>
      <c r="H65" s="46">
        <f t="shared" si="4"/>
        <v>0</v>
      </c>
      <c r="I65" s="43">
        <f t="shared" si="5"/>
        <v>0</v>
      </c>
      <c r="J65" s="41"/>
      <c r="K65" s="41" t="s">
        <v>95</v>
      </c>
    </row>
    <row r="66" spans="1:11" ht="16.5" customHeight="1" x14ac:dyDescent="0.25">
      <c r="A66" s="39">
        <v>63</v>
      </c>
      <c r="B66" s="40"/>
      <c r="C66" s="41"/>
      <c r="D66" s="42"/>
      <c r="E66" s="43"/>
      <c r="F66" s="44">
        <f t="shared" si="3"/>
        <v>0</v>
      </c>
      <c r="G66" s="45" t="s">
        <v>86</v>
      </c>
      <c r="H66" s="46">
        <f t="shared" si="4"/>
        <v>0</v>
      </c>
      <c r="I66" s="43">
        <f t="shared" si="5"/>
        <v>0</v>
      </c>
      <c r="J66" s="41"/>
      <c r="K66" s="41" t="s">
        <v>95</v>
      </c>
    </row>
    <row r="67" spans="1:11" ht="16.5" customHeight="1" x14ac:dyDescent="0.25">
      <c r="A67" s="39">
        <v>64</v>
      </c>
      <c r="B67" s="40"/>
      <c r="C67" s="41"/>
      <c r="D67" s="42"/>
      <c r="E67" s="43"/>
      <c r="F67" s="47">
        <f t="shared" si="3"/>
        <v>0</v>
      </c>
      <c r="G67" s="45" t="s">
        <v>86</v>
      </c>
      <c r="H67" s="46">
        <f t="shared" si="4"/>
        <v>0</v>
      </c>
      <c r="I67" s="43">
        <f t="shared" si="5"/>
        <v>0</v>
      </c>
      <c r="J67" s="41"/>
      <c r="K67" s="41" t="s">
        <v>95</v>
      </c>
    </row>
    <row r="68" spans="1:11" ht="16.5" customHeight="1" x14ac:dyDescent="0.25">
      <c r="A68" s="39">
        <v>65</v>
      </c>
      <c r="B68" s="40"/>
      <c r="C68" s="41"/>
      <c r="D68" s="42"/>
      <c r="E68" s="43"/>
      <c r="F68" s="44">
        <f t="shared" ref="F68:F99" si="6">IF(ISNUMBER(E68),E68,0)</f>
        <v>0</v>
      </c>
      <c r="G68" s="45" t="s">
        <v>86</v>
      </c>
      <c r="H68" s="46">
        <f t="shared" ref="H68:H99" si="7">IF(ISNUMBER(E68),ROUND(E68*IF(G68="20%",0.2,IF(G68="5%",0.05,0)),2),0)</f>
        <v>0</v>
      </c>
      <c r="I68" s="43">
        <f t="shared" ref="I68:I99" si="8">IF(ISNUMBER(E68),E68+H68,0)</f>
        <v>0</v>
      </c>
      <c r="J68" s="41"/>
      <c r="K68" s="41" t="s">
        <v>95</v>
      </c>
    </row>
    <row r="69" spans="1:11" ht="16.5" customHeight="1" x14ac:dyDescent="0.25">
      <c r="A69" s="39">
        <v>66</v>
      </c>
      <c r="B69" s="40"/>
      <c r="C69" s="41"/>
      <c r="D69" s="42"/>
      <c r="E69" s="43"/>
      <c r="F69" s="47">
        <f t="shared" si="6"/>
        <v>0</v>
      </c>
      <c r="G69" s="45" t="s">
        <v>86</v>
      </c>
      <c r="H69" s="46">
        <f t="shared" si="7"/>
        <v>0</v>
      </c>
      <c r="I69" s="43">
        <f t="shared" si="8"/>
        <v>0</v>
      </c>
      <c r="J69" s="41"/>
      <c r="K69" s="41" t="s">
        <v>95</v>
      </c>
    </row>
    <row r="70" spans="1:11" ht="16.5" customHeight="1" x14ac:dyDescent="0.25">
      <c r="A70" s="39">
        <v>67</v>
      </c>
      <c r="B70" s="40"/>
      <c r="C70" s="41"/>
      <c r="D70" s="42"/>
      <c r="E70" s="43"/>
      <c r="F70" s="44">
        <f t="shared" si="6"/>
        <v>0</v>
      </c>
      <c r="G70" s="45" t="s">
        <v>86</v>
      </c>
      <c r="H70" s="46">
        <f t="shared" si="7"/>
        <v>0</v>
      </c>
      <c r="I70" s="43">
        <f t="shared" si="8"/>
        <v>0</v>
      </c>
      <c r="J70" s="41"/>
      <c r="K70" s="41" t="s">
        <v>95</v>
      </c>
    </row>
    <row r="71" spans="1:11" ht="16.5" customHeight="1" x14ac:dyDescent="0.25">
      <c r="A71" s="39">
        <v>68</v>
      </c>
      <c r="B71" s="40"/>
      <c r="C71" s="41"/>
      <c r="D71" s="42"/>
      <c r="E71" s="43"/>
      <c r="F71" s="47">
        <f t="shared" si="6"/>
        <v>0</v>
      </c>
      <c r="G71" s="45" t="s">
        <v>86</v>
      </c>
      <c r="H71" s="46">
        <f t="shared" si="7"/>
        <v>0</v>
      </c>
      <c r="I71" s="43">
        <f t="shared" si="8"/>
        <v>0</v>
      </c>
      <c r="J71" s="41"/>
      <c r="K71" s="41" t="s">
        <v>95</v>
      </c>
    </row>
    <row r="72" spans="1:11" ht="16.5" customHeight="1" x14ac:dyDescent="0.25">
      <c r="A72" s="39">
        <v>69</v>
      </c>
      <c r="B72" s="40"/>
      <c r="C72" s="41"/>
      <c r="D72" s="42"/>
      <c r="E72" s="43"/>
      <c r="F72" s="44">
        <f t="shared" si="6"/>
        <v>0</v>
      </c>
      <c r="G72" s="45" t="s">
        <v>86</v>
      </c>
      <c r="H72" s="46">
        <f t="shared" si="7"/>
        <v>0</v>
      </c>
      <c r="I72" s="43">
        <f t="shared" si="8"/>
        <v>0</v>
      </c>
      <c r="J72" s="41"/>
      <c r="K72" s="41" t="s">
        <v>95</v>
      </c>
    </row>
    <row r="73" spans="1:11" ht="16.5" customHeight="1" x14ac:dyDescent="0.25">
      <c r="A73" s="39">
        <v>70</v>
      </c>
      <c r="B73" s="40"/>
      <c r="C73" s="41"/>
      <c r="D73" s="42"/>
      <c r="E73" s="43"/>
      <c r="F73" s="47">
        <f t="shared" si="6"/>
        <v>0</v>
      </c>
      <c r="G73" s="45" t="s">
        <v>86</v>
      </c>
      <c r="H73" s="46">
        <f t="shared" si="7"/>
        <v>0</v>
      </c>
      <c r="I73" s="43">
        <f t="shared" si="8"/>
        <v>0</v>
      </c>
      <c r="J73" s="41"/>
      <c r="K73" s="41" t="s">
        <v>95</v>
      </c>
    </row>
    <row r="74" spans="1:11" ht="16.5" customHeight="1" x14ac:dyDescent="0.25">
      <c r="A74" s="39">
        <v>71</v>
      </c>
      <c r="B74" s="40"/>
      <c r="C74" s="41"/>
      <c r="D74" s="42"/>
      <c r="E74" s="43"/>
      <c r="F74" s="44">
        <f t="shared" si="6"/>
        <v>0</v>
      </c>
      <c r="G74" s="45" t="s">
        <v>86</v>
      </c>
      <c r="H74" s="46">
        <f t="shared" si="7"/>
        <v>0</v>
      </c>
      <c r="I74" s="43">
        <f t="shared" si="8"/>
        <v>0</v>
      </c>
      <c r="J74" s="41"/>
      <c r="K74" s="41" t="s">
        <v>95</v>
      </c>
    </row>
    <row r="75" spans="1:11" ht="16.5" customHeight="1" x14ac:dyDescent="0.25">
      <c r="A75" s="39">
        <v>72</v>
      </c>
      <c r="B75" s="40"/>
      <c r="C75" s="41"/>
      <c r="D75" s="42"/>
      <c r="E75" s="43"/>
      <c r="F75" s="47">
        <f t="shared" si="6"/>
        <v>0</v>
      </c>
      <c r="G75" s="45" t="s">
        <v>86</v>
      </c>
      <c r="H75" s="46">
        <f t="shared" si="7"/>
        <v>0</v>
      </c>
      <c r="I75" s="43">
        <f t="shared" si="8"/>
        <v>0</v>
      </c>
      <c r="J75" s="41"/>
      <c r="K75" s="41" t="s">
        <v>95</v>
      </c>
    </row>
    <row r="76" spans="1:11" ht="16.5" customHeight="1" x14ac:dyDescent="0.25">
      <c r="A76" s="39">
        <v>73</v>
      </c>
      <c r="B76" s="40"/>
      <c r="C76" s="41"/>
      <c r="D76" s="42"/>
      <c r="E76" s="43"/>
      <c r="F76" s="44">
        <f t="shared" si="6"/>
        <v>0</v>
      </c>
      <c r="G76" s="45" t="s">
        <v>86</v>
      </c>
      <c r="H76" s="46">
        <f t="shared" si="7"/>
        <v>0</v>
      </c>
      <c r="I76" s="43">
        <f t="shared" si="8"/>
        <v>0</v>
      </c>
      <c r="J76" s="41"/>
      <c r="K76" s="41" t="s">
        <v>95</v>
      </c>
    </row>
    <row r="77" spans="1:11" ht="16.5" customHeight="1" x14ac:dyDescent="0.25">
      <c r="A77" s="39">
        <v>74</v>
      </c>
      <c r="B77" s="40"/>
      <c r="C77" s="41"/>
      <c r="D77" s="42"/>
      <c r="E77" s="43"/>
      <c r="F77" s="47">
        <f t="shared" si="6"/>
        <v>0</v>
      </c>
      <c r="G77" s="45" t="s">
        <v>86</v>
      </c>
      <c r="H77" s="46">
        <f t="shared" si="7"/>
        <v>0</v>
      </c>
      <c r="I77" s="43">
        <f t="shared" si="8"/>
        <v>0</v>
      </c>
      <c r="J77" s="41"/>
      <c r="K77" s="41" t="s">
        <v>95</v>
      </c>
    </row>
    <row r="78" spans="1:11" ht="16.5" customHeight="1" x14ac:dyDescent="0.25">
      <c r="A78" s="39">
        <v>75</v>
      </c>
      <c r="B78" s="40"/>
      <c r="C78" s="41"/>
      <c r="D78" s="42"/>
      <c r="E78" s="43"/>
      <c r="F78" s="44">
        <f t="shared" si="6"/>
        <v>0</v>
      </c>
      <c r="G78" s="45" t="s">
        <v>86</v>
      </c>
      <c r="H78" s="46">
        <f t="shared" si="7"/>
        <v>0</v>
      </c>
      <c r="I78" s="43">
        <f t="shared" si="8"/>
        <v>0</v>
      </c>
      <c r="J78" s="41"/>
      <c r="K78" s="41" t="s">
        <v>95</v>
      </c>
    </row>
    <row r="79" spans="1:11" ht="16.5" customHeight="1" x14ac:dyDescent="0.25">
      <c r="A79" s="39">
        <v>76</v>
      </c>
      <c r="B79" s="40"/>
      <c r="C79" s="41"/>
      <c r="D79" s="42"/>
      <c r="E79" s="43"/>
      <c r="F79" s="47">
        <f t="shared" si="6"/>
        <v>0</v>
      </c>
      <c r="G79" s="45" t="s">
        <v>86</v>
      </c>
      <c r="H79" s="46">
        <f t="shared" si="7"/>
        <v>0</v>
      </c>
      <c r="I79" s="43">
        <f t="shared" si="8"/>
        <v>0</v>
      </c>
      <c r="J79" s="41"/>
      <c r="K79" s="41" t="s">
        <v>95</v>
      </c>
    </row>
    <row r="80" spans="1:11" ht="16.5" customHeight="1" x14ac:dyDescent="0.25">
      <c r="A80" s="39">
        <v>77</v>
      </c>
      <c r="B80" s="40"/>
      <c r="C80" s="41"/>
      <c r="D80" s="42"/>
      <c r="E80" s="43"/>
      <c r="F80" s="44">
        <f t="shared" si="6"/>
        <v>0</v>
      </c>
      <c r="G80" s="45" t="s">
        <v>86</v>
      </c>
      <c r="H80" s="46">
        <f t="shared" si="7"/>
        <v>0</v>
      </c>
      <c r="I80" s="43">
        <f t="shared" si="8"/>
        <v>0</v>
      </c>
      <c r="J80" s="41"/>
      <c r="K80" s="41" t="s">
        <v>95</v>
      </c>
    </row>
    <row r="81" spans="1:11" ht="16.5" customHeight="1" x14ac:dyDescent="0.25">
      <c r="A81" s="39">
        <v>78</v>
      </c>
      <c r="B81" s="40"/>
      <c r="C81" s="41"/>
      <c r="D81" s="42"/>
      <c r="E81" s="43"/>
      <c r="F81" s="47">
        <f t="shared" si="6"/>
        <v>0</v>
      </c>
      <c r="G81" s="45" t="s">
        <v>86</v>
      </c>
      <c r="H81" s="46">
        <f t="shared" si="7"/>
        <v>0</v>
      </c>
      <c r="I81" s="43">
        <f t="shared" si="8"/>
        <v>0</v>
      </c>
      <c r="J81" s="41"/>
      <c r="K81" s="41" t="s">
        <v>95</v>
      </c>
    </row>
    <row r="82" spans="1:11" ht="16.5" customHeight="1" x14ac:dyDescent="0.25">
      <c r="A82" s="39">
        <v>79</v>
      </c>
      <c r="B82" s="40"/>
      <c r="C82" s="41"/>
      <c r="D82" s="42"/>
      <c r="E82" s="43"/>
      <c r="F82" s="44">
        <f t="shared" si="6"/>
        <v>0</v>
      </c>
      <c r="G82" s="45" t="s">
        <v>86</v>
      </c>
      <c r="H82" s="46">
        <f t="shared" si="7"/>
        <v>0</v>
      </c>
      <c r="I82" s="43">
        <f t="shared" si="8"/>
        <v>0</v>
      </c>
      <c r="J82" s="41"/>
      <c r="K82" s="41" t="s">
        <v>95</v>
      </c>
    </row>
    <row r="83" spans="1:11" ht="16.5" customHeight="1" x14ac:dyDescent="0.25">
      <c r="A83" s="39">
        <v>80</v>
      </c>
      <c r="B83" s="40"/>
      <c r="C83" s="41"/>
      <c r="D83" s="42"/>
      <c r="E83" s="43"/>
      <c r="F83" s="47">
        <f t="shared" si="6"/>
        <v>0</v>
      </c>
      <c r="G83" s="45" t="s">
        <v>86</v>
      </c>
      <c r="H83" s="46">
        <f t="shared" si="7"/>
        <v>0</v>
      </c>
      <c r="I83" s="43">
        <f t="shared" si="8"/>
        <v>0</v>
      </c>
      <c r="J83" s="41"/>
      <c r="K83" s="41" t="s">
        <v>95</v>
      </c>
    </row>
    <row r="84" spans="1:11" ht="16.5" customHeight="1" x14ac:dyDescent="0.25">
      <c r="A84" s="39">
        <v>81</v>
      </c>
      <c r="B84" s="40"/>
      <c r="C84" s="41"/>
      <c r="D84" s="42"/>
      <c r="E84" s="43"/>
      <c r="F84" s="44">
        <f t="shared" si="6"/>
        <v>0</v>
      </c>
      <c r="G84" s="45" t="s">
        <v>86</v>
      </c>
      <c r="H84" s="46">
        <f t="shared" si="7"/>
        <v>0</v>
      </c>
      <c r="I84" s="43">
        <f t="shared" si="8"/>
        <v>0</v>
      </c>
      <c r="J84" s="41"/>
      <c r="K84" s="41" t="s">
        <v>95</v>
      </c>
    </row>
    <row r="85" spans="1:11" ht="16.5" customHeight="1" x14ac:dyDescent="0.25">
      <c r="A85" s="39">
        <v>82</v>
      </c>
      <c r="B85" s="40"/>
      <c r="C85" s="41"/>
      <c r="D85" s="42"/>
      <c r="E85" s="43"/>
      <c r="F85" s="47">
        <f t="shared" si="6"/>
        <v>0</v>
      </c>
      <c r="G85" s="45" t="s">
        <v>86</v>
      </c>
      <c r="H85" s="46">
        <f t="shared" si="7"/>
        <v>0</v>
      </c>
      <c r="I85" s="43">
        <f t="shared" si="8"/>
        <v>0</v>
      </c>
      <c r="J85" s="41"/>
      <c r="K85" s="41" t="s">
        <v>95</v>
      </c>
    </row>
    <row r="86" spans="1:11" ht="16.5" customHeight="1" x14ac:dyDescent="0.25">
      <c r="A86" s="39">
        <v>83</v>
      </c>
      <c r="B86" s="40"/>
      <c r="C86" s="41"/>
      <c r="D86" s="42"/>
      <c r="E86" s="43"/>
      <c r="F86" s="44">
        <f t="shared" si="6"/>
        <v>0</v>
      </c>
      <c r="G86" s="45" t="s">
        <v>86</v>
      </c>
      <c r="H86" s="46">
        <f t="shared" si="7"/>
        <v>0</v>
      </c>
      <c r="I86" s="43">
        <f t="shared" si="8"/>
        <v>0</v>
      </c>
      <c r="J86" s="41"/>
      <c r="K86" s="41" t="s">
        <v>95</v>
      </c>
    </row>
    <row r="87" spans="1:11" ht="16.5" customHeight="1" x14ac:dyDescent="0.25">
      <c r="A87" s="39">
        <v>84</v>
      </c>
      <c r="B87" s="40"/>
      <c r="C87" s="41"/>
      <c r="D87" s="42"/>
      <c r="E87" s="43"/>
      <c r="F87" s="47">
        <f t="shared" si="6"/>
        <v>0</v>
      </c>
      <c r="G87" s="45" t="s">
        <v>86</v>
      </c>
      <c r="H87" s="46">
        <f t="shared" si="7"/>
        <v>0</v>
      </c>
      <c r="I87" s="43">
        <f t="shared" si="8"/>
        <v>0</v>
      </c>
      <c r="J87" s="41"/>
      <c r="K87" s="41" t="s">
        <v>95</v>
      </c>
    </row>
    <row r="88" spans="1:11" ht="16.5" customHeight="1" x14ac:dyDescent="0.25">
      <c r="A88" s="39">
        <v>85</v>
      </c>
      <c r="B88" s="40"/>
      <c r="C88" s="41"/>
      <c r="D88" s="42"/>
      <c r="E88" s="43"/>
      <c r="F88" s="44">
        <f t="shared" si="6"/>
        <v>0</v>
      </c>
      <c r="G88" s="45" t="s">
        <v>86</v>
      </c>
      <c r="H88" s="46">
        <f t="shared" si="7"/>
        <v>0</v>
      </c>
      <c r="I88" s="43">
        <f t="shared" si="8"/>
        <v>0</v>
      </c>
      <c r="J88" s="41"/>
      <c r="K88" s="41" t="s">
        <v>95</v>
      </c>
    </row>
    <row r="89" spans="1:11" ht="16.5" customHeight="1" x14ac:dyDescent="0.25">
      <c r="A89" s="39">
        <v>86</v>
      </c>
      <c r="B89" s="40"/>
      <c r="C89" s="41"/>
      <c r="D89" s="42"/>
      <c r="E89" s="43"/>
      <c r="F89" s="47">
        <f t="shared" si="6"/>
        <v>0</v>
      </c>
      <c r="G89" s="45" t="s">
        <v>86</v>
      </c>
      <c r="H89" s="46">
        <f t="shared" si="7"/>
        <v>0</v>
      </c>
      <c r="I89" s="43">
        <f t="shared" si="8"/>
        <v>0</v>
      </c>
      <c r="J89" s="41"/>
      <c r="K89" s="41" t="s">
        <v>95</v>
      </c>
    </row>
    <row r="90" spans="1:11" ht="16.5" customHeight="1" x14ac:dyDescent="0.25">
      <c r="A90" s="39">
        <v>87</v>
      </c>
      <c r="B90" s="40"/>
      <c r="C90" s="41"/>
      <c r="D90" s="42"/>
      <c r="E90" s="43"/>
      <c r="F90" s="44">
        <f t="shared" si="6"/>
        <v>0</v>
      </c>
      <c r="G90" s="45" t="s">
        <v>86</v>
      </c>
      <c r="H90" s="46">
        <f t="shared" si="7"/>
        <v>0</v>
      </c>
      <c r="I90" s="43">
        <f t="shared" si="8"/>
        <v>0</v>
      </c>
      <c r="J90" s="41"/>
      <c r="K90" s="41" t="s">
        <v>95</v>
      </c>
    </row>
    <row r="91" spans="1:11" ht="16.5" customHeight="1" x14ac:dyDescent="0.25">
      <c r="A91" s="39">
        <v>88</v>
      </c>
      <c r="B91" s="40"/>
      <c r="C91" s="41"/>
      <c r="D91" s="42"/>
      <c r="E91" s="43"/>
      <c r="F91" s="47">
        <f t="shared" si="6"/>
        <v>0</v>
      </c>
      <c r="G91" s="45" t="s">
        <v>86</v>
      </c>
      <c r="H91" s="46">
        <f t="shared" si="7"/>
        <v>0</v>
      </c>
      <c r="I91" s="43">
        <f t="shared" si="8"/>
        <v>0</v>
      </c>
      <c r="J91" s="41"/>
      <c r="K91" s="41" t="s">
        <v>95</v>
      </c>
    </row>
    <row r="92" spans="1:11" ht="16.5" customHeight="1" x14ac:dyDescent="0.25">
      <c r="A92" s="39">
        <v>89</v>
      </c>
      <c r="B92" s="40"/>
      <c r="C92" s="41"/>
      <c r="D92" s="42"/>
      <c r="E92" s="43"/>
      <c r="F92" s="44">
        <f t="shared" si="6"/>
        <v>0</v>
      </c>
      <c r="G92" s="45" t="s">
        <v>86</v>
      </c>
      <c r="H92" s="46">
        <f t="shared" si="7"/>
        <v>0</v>
      </c>
      <c r="I92" s="43">
        <f t="shared" si="8"/>
        <v>0</v>
      </c>
      <c r="J92" s="41"/>
      <c r="K92" s="41" t="s">
        <v>95</v>
      </c>
    </row>
    <row r="93" spans="1:11" ht="16.5" customHeight="1" x14ac:dyDescent="0.25">
      <c r="A93" s="39">
        <v>90</v>
      </c>
      <c r="B93" s="40"/>
      <c r="C93" s="41"/>
      <c r="D93" s="42"/>
      <c r="E93" s="43"/>
      <c r="F93" s="47">
        <f t="shared" si="6"/>
        <v>0</v>
      </c>
      <c r="G93" s="45" t="s">
        <v>86</v>
      </c>
      <c r="H93" s="46">
        <f t="shared" si="7"/>
        <v>0</v>
      </c>
      <c r="I93" s="43">
        <f t="shared" si="8"/>
        <v>0</v>
      </c>
      <c r="J93" s="41"/>
      <c r="K93" s="41" t="s">
        <v>95</v>
      </c>
    </row>
    <row r="94" spans="1:11" ht="16.5" customHeight="1" x14ac:dyDescent="0.25">
      <c r="A94" s="39">
        <v>91</v>
      </c>
      <c r="B94" s="40"/>
      <c r="C94" s="41"/>
      <c r="D94" s="42"/>
      <c r="E94" s="43"/>
      <c r="F94" s="44">
        <f t="shared" si="6"/>
        <v>0</v>
      </c>
      <c r="G94" s="45" t="s">
        <v>86</v>
      </c>
      <c r="H94" s="46">
        <f t="shared" si="7"/>
        <v>0</v>
      </c>
      <c r="I94" s="43">
        <f t="shared" si="8"/>
        <v>0</v>
      </c>
      <c r="J94" s="41"/>
      <c r="K94" s="41" t="s">
        <v>95</v>
      </c>
    </row>
    <row r="95" spans="1:11" ht="16.5" customHeight="1" x14ac:dyDescent="0.25">
      <c r="A95" s="39">
        <v>92</v>
      </c>
      <c r="B95" s="40"/>
      <c r="C95" s="41"/>
      <c r="D95" s="42"/>
      <c r="E95" s="43"/>
      <c r="F95" s="47">
        <f t="shared" si="6"/>
        <v>0</v>
      </c>
      <c r="G95" s="45" t="s">
        <v>86</v>
      </c>
      <c r="H95" s="46">
        <f t="shared" si="7"/>
        <v>0</v>
      </c>
      <c r="I95" s="43">
        <f t="shared" si="8"/>
        <v>0</v>
      </c>
      <c r="J95" s="41"/>
      <c r="K95" s="41" t="s">
        <v>95</v>
      </c>
    </row>
    <row r="96" spans="1:11" ht="16.5" customHeight="1" x14ac:dyDescent="0.25">
      <c r="A96" s="39">
        <v>93</v>
      </c>
      <c r="B96" s="40"/>
      <c r="C96" s="41"/>
      <c r="D96" s="42"/>
      <c r="E96" s="43"/>
      <c r="F96" s="44">
        <f t="shared" si="6"/>
        <v>0</v>
      </c>
      <c r="G96" s="45" t="s">
        <v>86</v>
      </c>
      <c r="H96" s="46">
        <f t="shared" si="7"/>
        <v>0</v>
      </c>
      <c r="I96" s="43">
        <f t="shared" si="8"/>
        <v>0</v>
      </c>
      <c r="J96" s="41"/>
      <c r="K96" s="41" t="s">
        <v>95</v>
      </c>
    </row>
    <row r="97" spans="1:11" ht="16.5" customHeight="1" x14ac:dyDescent="0.25">
      <c r="A97" s="39">
        <v>94</v>
      </c>
      <c r="B97" s="40"/>
      <c r="C97" s="41"/>
      <c r="D97" s="42"/>
      <c r="E97" s="43"/>
      <c r="F97" s="47">
        <f t="shared" si="6"/>
        <v>0</v>
      </c>
      <c r="G97" s="45" t="s">
        <v>86</v>
      </c>
      <c r="H97" s="46">
        <f t="shared" si="7"/>
        <v>0</v>
      </c>
      <c r="I97" s="43">
        <f t="shared" si="8"/>
        <v>0</v>
      </c>
      <c r="J97" s="41"/>
      <c r="K97" s="41" t="s">
        <v>95</v>
      </c>
    </row>
    <row r="98" spans="1:11" ht="16.5" customHeight="1" x14ac:dyDescent="0.25">
      <c r="A98" s="39">
        <v>95</v>
      </c>
      <c r="B98" s="40"/>
      <c r="C98" s="41"/>
      <c r="D98" s="42"/>
      <c r="E98" s="43"/>
      <c r="F98" s="44">
        <f t="shared" si="6"/>
        <v>0</v>
      </c>
      <c r="G98" s="45" t="s">
        <v>86</v>
      </c>
      <c r="H98" s="46">
        <f t="shared" si="7"/>
        <v>0</v>
      </c>
      <c r="I98" s="43">
        <f t="shared" si="8"/>
        <v>0</v>
      </c>
      <c r="J98" s="41"/>
      <c r="K98" s="41" t="s">
        <v>95</v>
      </c>
    </row>
    <row r="99" spans="1:11" ht="16.5" customHeight="1" x14ac:dyDescent="0.25">
      <c r="A99" s="39">
        <v>96</v>
      </c>
      <c r="B99" s="40"/>
      <c r="C99" s="41"/>
      <c r="D99" s="42"/>
      <c r="E99" s="43"/>
      <c r="F99" s="47">
        <f t="shared" si="6"/>
        <v>0</v>
      </c>
      <c r="G99" s="45" t="s">
        <v>86</v>
      </c>
      <c r="H99" s="46">
        <f t="shared" si="7"/>
        <v>0</v>
      </c>
      <c r="I99" s="43">
        <f t="shared" si="8"/>
        <v>0</v>
      </c>
      <c r="J99" s="41"/>
      <c r="K99" s="41" t="s">
        <v>95</v>
      </c>
    </row>
    <row r="100" spans="1:11" ht="16.5" customHeight="1" x14ac:dyDescent="0.25">
      <c r="A100" s="39">
        <v>97</v>
      </c>
      <c r="B100" s="40"/>
      <c r="C100" s="41"/>
      <c r="D100" s="42"/>
      <c r="E100" s="43"/>
      <c r="F100" s="44">
        <f t="shared" ref="F100:F131" si="9">IF(ISNUMBER(E100),E100,0)</f>
        <v>0</v>
      </c>
      <c r="G100" s="45" t="s">
        <v>86</v>
      </c>
      <c r="H100" s="46">
        <f t="shared" ref="H100:H131" si="10">IF(ISNUMBER(E100),ROUND(E100*IF(G100="20%",0.2,IF(G100="5%",0.05,0)),2),0)</f>
        <v>0</v>
      </c>
      <c r="I100" s="43">
        <f t="shared" ref="I100:I131" si="11">IF(ISNUMBER(E100),E100+H100,0)</f>
        <v>0</v>
      </c>
      <c r="J100" s="41"/>
      <c r="K100" s="41" t="s">
        <v>95</v>
      </c>
    </row>
    <row r="101" spans="1:11" ht="16.5" customHeight="1" x14ac:dyDescent="0.25">
      <c r="A101" s="39">
        <v>98</v>
      </c>
      <c r="B101" s="40"/>
      <c r="C101" s="41"/>
      <c r="D101" s="42"/>
      <c r="E101" s="43"/>
      <c r="F101" s="47">
        <f t="shared" si="9"/>
        <v>0</v>
      </c>
      <c r="G101" s="45" t="s">
        <v>86</v>
      </c>
      <c r="H101" s="46">
        <f t="shared" si="10"/>
        <v>0</v>
      </c>
      <c r="I101" s="43">
        <f t="shared" si="11"/>
        <v>0</v>
      </c>
      <c r="J101" s="41"/>
      <c r="K101" s="41" t="s">
        <v>95</v>
      </c>
    </row>
    <row r="102" spans="1:11" ht="16.5" customHeight="1" x14ac:dyDescent="0.25">
      <c r="A102" s="39">
        <v>99</v>
      </c>
      <c r="B102" s="40"/>
      <c r="C102" s="41"/>
      <c r="D102" s="42"/>
      <c r="E102" s="43"/>
      <c r="F102" s="44">
        <f t="shared" si="9"/>
        <v>0</v>
      </c>
      <c r="G102" s="45" t="s">
        <v>86</v>
      </c>
      <c r="H102" s="46">
        <f t="shared" si="10"/>
        <v>0</v>
      </c>
      <c r="I102" s="43">
        <f t="shared" si="11"/>
        <v>0</v>
      </c>
      <c r="J102" s="41"/>
      <c r="K102" s="41" t="s">
        <v>95</v>
      </c>
    </row>
    <row r="103" spans="1:11" ht="16.5" customHeight="1" x14ac:dyDescent="0.25">
      <c r="A103" s="39">
        <v>100</v>
      </c>
      <c r="B103" s="40"/>
      <c r="C103" s="41"/>
      <c r="D103" s="42"/>
      <c r="E103" s="43"/>
      <c r="F103" s="47">
        <f t="shared" si="9"/>
        <v>0</v>
      </c>
      <c r="G103" s="45" t="s">
        <v>86</v>
      </c>
      <c r="H103" s="46">
        <f t="shared" si="10"/>
        <v>0</v>
      </c>
      <c r="I103" s="43">
        <f t="shared" si="11"/>
        <v>0</v>
      </c>
      <c r="J103" s="41"/>
      <c r="K103" s="41" t="s">
        <v>95</v>
      </c>
    </row>
    <row r="104" spans="1:11" ht="16.5" customHeight="1" x14ac:dyDescent="0.25">
      <c r="A104" s="39">
        <v>101</v>
      </c>
      <c r="B104" s="40"/>
      <c r="C104" s="41"/>
      <c r="D104" s="42"/>
      <c r="E104" s="43"/>
      <c r="F104" s="44">
        <f t="shared" si="9"/>
        <v>0</v>
      </c>
      <c r="G104" s="45" t="s">
        <v>86</v>
      </c>
      <c r="H104" s="46">
        <f t="shared" si="10"/>
        <v>0</v>
      </c>
      <c r="I104" s="43">
        <f t="shared" si="11"/>
        <v>0</v>
      </c>
      <c r="J104" s="41"/>
      <c r="K104" s="41" t="s">
        <v>95</v>
      </c>
    </row>
    <row r="105" spans="1:11" ht="16.5" customHeight="1" x14ac:dyDescent="0.25">
      <c r="A105" s="39">
        <v>102</v>
      </c>
      <c r="B105" s="40"/>
      <c r="C105" s="41"/>
      <c r="D105" s="42"/>
      <c r="E105" s="43"/>
      <c r="F105" s="47">
        <f t="shared" si="9"/>
        <v>0</v>
      </c>
      <c r="G105" s="45" t="s">
        <v>86</v>
      </c>
      <c r="H105" s="46">
        <f t="shared" si="10"/>
        <v>0</v>
      </c>
      <c r="I105" s="43">
        <f t="shared" si="11"/>
        <v>0</v>
      </c>
      <c r="J105" s="41"/>
      <c r="K105" s="41" t="s">
        <v>95</v>
      </c>
    </row>
    <row r="106" spans="1:11" ht="16.5" customHeight="1" x14ac:dyDescent="0.25">
      <c r="A106" s="39">
        <v>103</v>
      </c>
      <c r="B106" s="40"/>
      <c r="C106" s="41"/>
      <c r="D106" s="42"/>
      <c r="E106" s="43"/>
      <c r="F106" s="44">
        <f t="shared" si="9"/>
        <v>0</v>
      </c>
      <c r="G106" s="45" t="s">
        <v>86</v>
      </c>
      <c r="H106" s="46">
        <f t="shared" si="10"/>
        <v>0</v>
      </c>
      <c r="I106" s="43">
        <f t="shared" si="11"/>
        <v>0</v>
      </c>
      <c r="J106" s="41"/>
      <c r="K106" s="41" t="s">
        <v>95</v>
      </c>
    </row>
    <row r="107" spans="1:11" ht="16.5" customHeight="1" x14ac:dyDescent="0.25">
      <c r="A107" s="39">
        <v>104</v>
      </c>
      <c r="B107" s="40"/>
      <c r="C107" s="41"/>
      <c r="D107" s="42"/>
      <c r="E107" s="43"/>
      <c r="F107" s="47">
        <f t="shared" si="9"/>
        <v>0</v>
      </c>
      <c r="G107" s="45" t="s">
        <v>86</v>
      </c>
      <c r="H107" s="46">
        <f t="shared" si="10"/>
        <v>0</v>
      </c>
      <c r="I107" s="43">
        <f t="shared" si="11"/>
        <v>0</v>
      </c>
      <c r="J107" s="41"/>
      <c r="K107" s="41" t="s">
        <v>95</v>
      </c>
    </row>
    <row r="108" spans="1:11" ht="16.5" customHeight="1" x14ac:dyDescent="0.25">
      <c r="A108" s="39">
        <v>105</v>
      </c>
      <c r="B108" s="40"/>
      <c r="C108" s="41"/>
      <c r="D108" s="42"/>
      <c r="E108" s="43"/>
      <c r="F108" s="44">
        <f t="shared" si="9"/>
        <v>0</v>
      </c>
      <c r="G108" s="45" t="s">
        <v>86</v>
      </c>
      <c r="H108" s="46">
        <f t="shared" si="10"/>
        <v>0</v>
      </c>
      <c r="I108" s="43">
        <f t="shared" si="11"/>
        <v>0</v>
      </c>
      <c r="J108" s="41"/>
      <c r="K108" s="41" t="s">
        <v>95</v>
      </c>
    </row>
    <row r="109" spans="1:11" ht="16.5" customHeight="1" x14ac:dyDescent="0.25">
      <c r="A109" s="39">
        <v>106</v>
      </c>
      <c r="B109" s="40"/>
      <c r="C109" s="41"/>
      <c r="D109" s="42"/>
      <c r="E109" s="43"/>
      <c r="F109" s="47">
        <f t="shared" si="9"/>
        <v>0</v>
      </c>
      <c r="G109" s="45" t="s">
        <v>86</v>
      </c>
      <c r="H109" s="46">
        <f t="shared" si="10"/>
        <v>0</v>
      </c>
      <c r="I109" s="43">
        <f t="shared" si="11"/>
        <v>0</v>
      </c>
      <c r="J109" s="41"/>
      <c r="K109" s="41" t="s">
        <v>95</v>
      </c>
    </row>
    <row r="110" spans="1:11" ht="16.5" customHeight="1" x14ac:dyDescent="0.25">
      <c r="A110" s="39">
        <v>107</v>
      </c>
      <c r="B110" s="40"/>
      <c r="C110" s="41"/>
      <c r="D110" s="42"/>
      <c r="E110" s="43"/>
      <c r="F110" s="44">
        <f t="shared" si="9"/>
        <v>0</v>
      </c>
      <c r="G110" s="45" t="s">
        <v>86</v>
      </c>
      <c r="H110" s="46">
        <f t="shared" si="10"/>
        <v>0</v>
      </c>
      <c r="I110" s="43">
        <f t="shared" si="11"/>
        <v>0</v>
      </c>
      <c r="J110" s="41"/>
      <c r="K110" s="41" t="s">
        <v>95</v>
      </c>
    </row>
    <row r="111" spans="1:11" ht="16.5" customHeight="1" x14ac:dyDescent="0.25">
      <c r="A111" s="39">
        <v>108</v>
      </c>
      <c r="B111" s="40"/>
      <c r="C111" s="41"/>
      <c r="D111" s="42"/>
      <c r="E111" s="43"/>
      <c r="F111" s="47">
        <f t="shared" si="9"/>
        <v>0</v>
      </c>
      <c r="G111" s="45" t="s">
        <v>86</v>
      </c>
      <c r="H111" s="46">
        <f t="shared" si="10"/>
        <v>0</v>
      </c>
      <c r="I111" s="43">
        <f t="shared" si="11"/>
        <v>0</v>
      </c>
      <c r="J111" s="41"/>
      <c r="K111" s="41" t="s">
        <v>95</v>
      </c>
    </row>
    <row r="112" spans="1:11" ht="16.5" customHeight="1" x14ac:dyDescent="0.25">
      <c r="A112" s="39">
        <v>109</v>
      </c>
      <c r="B112" s="40"/>
      <c r="C112" s="41"/>
      <c r="D112" s="42"/>
      <c r="E112" s="43"/>
      <c r="F112" s="44">
        <f t="shared" si="9"/>
        <v>0</v>
      </c>
      <c r="G112" s="45" t="s">
        <v>86</v>
      </c>
      <c r="H112" s="46">
        <f t="shared" si="10"/>
        <v>0</v>
      </c>
      <c r="I112" s="43">
        <f t="shared" si="11"/>
        <v>0</v>
      </c>
      <c r="J112" s="41"/>
      <c r="K112" s="41" t="s">
        <v>95</v>
      </c>
    </row>
    <row r="113" spans="1:11" ht="16.5" customHeight="1" x14ac:dyDescent="0.25">
      <c r="A113" s="39">
        <v>110</v>
      </c>
      <c r="B113" s="40"/>
      <c r="C113" s="41"/>
      <c r="D113" s="42"/>
      <c r="E113" s="43"/>
      <c r="F113" s="47">
        <f t="shared" si="9"/>
        <v>0</v>
      </c>
      <c r="G113" s="45" t="s">
        <v>86</v>
      </c>
      <c r="H113" s="46">
        <f t="shared" si="10"/>
        <v>0</v>
      </c>
      <c r="I113" s="43">
        <f t="shared" si="11"/>
        <v>0</v>
      </c>
      <c r="J113" s="41"/>
      <c r="K113" s="41" t="s">
        <v>95</v>
      </c>
    </row>
    <row r="114" spans="1:11" ht="16.5" customHeight="1" x14ac:dyDescent="0.25">
      <c r="A114" s="39">
        <v>111</v>
      </c>
      <c r="B114" s="40"/>
      <c r="C114" s="41"/>
      <c r="D114" s="42"/>
      <c r="E114" s="43"/>
      <c r="F114" s="44">
        <f t="shared" si="9"/>
        <v>0</v>
      </c>
      <c r="G114" s="45" t="s">
        <v>86</v>
      </c>
      <c r="H114" s="46">
        <f t="shared" si="10"/>
        <v>0</v>
      </c>
      <c r="I114" s="43">
        <f t="shared" si="11"/>
        <v>0</v>
      </c>
      <c r="J114" s="41"/>
      <c r="K114" s="41" t="s">
        <v>95</v>
      </c>
    </row>
    <row r="115" spans="1:11" ht="16.5" customHeight="1" x14ac:dyDescent="0.25">
      <c r="A115" s="39">
        <v>112</v>
      </c>
      <c r="B115" s="40"/>
      <c r="C115" s="41"/>
      <c r="D115" s="42"/>
      <c r="E115" s="43"/>
      <c r="F115" s="47">
        <f t="shared" si="9"/>
        <v>0</v>
      </c>
      <c r="G115" s="45" t="s">
        <v>86</v>
      </c>
      <c r="H115" s="46">
        <f t="shared" si="10"/>
        <v>0</v>
      </c>
      <c r="I115" s="43">
        <f t="shared" si="11"/>
        <v>0</v>
      </c>
      <c r="J115" s="41"/>
      <c r="K115" s="41" t="s">
        <v>95</v>
      </c>
    </row>
    <row r="116" spans="1:11" ht="16.5" customHeight="1" x14ac:dyDescent="0.25">
      <c r="A116" s="39">
        <v>113</v>
      </c>
      <c r="B116" s="40"/>
      <c r="C116" s="41"/>
      <c r="D116" s="42"/>
      <c r="E116" s="43"/>
      <c r="F116" s="44">
        <f t="shared" si="9"/>
        <v>0</v>
      </c>
      <c r="G116" s="45" t="s">
        <v>86</v>
      </c>
      <c r="H116" s="46">
        <f t="shared" si="10"/>
        <v>0</v>
      </c>
      <c r="I116" s="43">
        <f t="shared" si="11"/>
        <v>0</v>
      </c>
      <c r="J116" s="41"/>
      <c r="K116" s="41" t="s">
        <v>95</v>
      </c>
    </row>
    <row r="117" spans="1:11" ht="16.5" customHeight="1" x14ac:dyDescent="0.25">
      <c r="A117" s="39">
        <v>114</v>
      </c>
      <c r="B117" s="40"/>
      <c r="C117" s="41"/>
      <c r="D117" s="42"/>
      <c r="E117" s="43"/>
      <c r="F117" s="47">
        <f t="shared" si="9"/>
        <v>0</v>
      </c>
      <c r="G117" s="45" t="s">
        <v>86</v>
      </c>
      <c r="H117" s="46">
        <f t="shared" si="10"/>
        <v>0</v>
      </c>
      <c r="I117" s="43">
        <f t="shared" si="11"/>
        <v>0</v>
      </c>
      <c r="J117" s="41"/>
      <c r="K117" s="41" t="s">
        <v>95</v>
      </c>
    </row>
    <row r="118" spans="1:11" ht="16.5" customHeight="1" x14ac:dyDescent="0.25">
      <c r="A118" s="39">
        <v>115</v>
      </c>
      <c r="B118" s="40"/>
      <c r="C118" s="41"/>
      <c r="D118" s="42"/>
      <c r="E118" s="43"/>
      <c r="F118" s="44">
        <f t="shared" si="9"/>
        <v>0</v>
      </c>
      <c r="G118" s="45" t="s">
        <v>86</v>
      </c>
      <c r="H118" s="46">
        <f t="shared" si="10"/>
        <v>0</v>
      </c>
      <c r="I118" s="43">
        <f t="shared" si="11"/>
        <v>0</v>
      </c>
      <c r="J118" s="41"/>
      <c r="K118" s="41" t="s">
        <v>95</v>
      </c>
    </row>
    <row r="119" spans="1:11" ht="16.5" customHeight="1" x14ac:dyDescent="0.25">
      <c r="A119" s="39">
        <v>116</v>
      </c>
      <c r="B119" s="40"/>
      <c r="C119" s="41"/>
      <c r="D119" s="42"/>
      <c r="E119" s="43"/>
      <c r="F119" s="47">
        <f t="shared" si="9"/>
        <v>0</v>
      </c>
      <c r="G119" s="45" t="s">
        <v>86</v>
      </c>
      <c r="H119" s="46">
        <f t="shared" si="10"/>
        <v>0</v>
      </c>
      <c r="I119" s="43">
        <f t="shared" si="11"/>
        <v>0</v>
      </c>
      <c r="J119" s="41"/>
      <c r="K119" s="41" t="s">
        <v>95</v>
      </c>
    </row>
    <row r="120" spans="1:11" ht="16.5" customHeight="1" x14ac:dyDescent="0.25">
      <c r="A120" s="39">
        <v>117</v>
      </c>
      <c r="B120" s="40"/>
      <c r="C120" s="41"/>
      <c r="D120" s="42"/>
      <c r="E120" s="43"/>
      <c r="F120" s="44">
        <f t="shared" si="9"/>
        <v>0</v>
      </c>
      <c r="G120" s="45" t="s">
        <v>86</v>
      </c>
      <c r="H120" s="46">
        <f t="shared" si="10"/>
        <v>0</v>
      </c>
      <c r="I120" s="43">
        <f t="shared" si="11"/>
        <v>0</v>
      </c>
      <c r="J120" s="41"/>
      <c r="K120" s="41" t="s">
        <v>95</v>
      </c>
    </row>
    <row r="121" spans="1:11" ht="16.5" customHeight="1" x14ac:dyDescent="0.25">
      <c r="A121" s="39">
        <v>118</v>
      </c>
      <c r="B121" s="40"/>
      <c r="C121" s="41"/>
      <c r="D121" s="42"/>
      <c r="E121" s="43"/>
      <c r="F121" s="47">
        <f t="shared" si="9"/>
        <v>0</v>
      </c>
      <c r="G121" s="45" t="s">
        <v>86</v>
      </c>
      <c r="H121" s="46">
        <f t="shared" si="10"/>
        <v>0</v>
      </c>
      <c r="I121" s="43">
        <f t="shared" si="11"/>
        <v>0</v>
      </c>
      <c r="J121" s="41"/>
      <c r="K121" s="41" t="s">
        <v>95</v>
      </c>
    </row>
    <row r="122" spans="1:11" ht="16.5" customHeight="1" x14ac:dyDescent="0.25">
      <c r="A122" s="39">
        <v>119</v>
      </c>
      <c r="B122" s="40"/>
      <c r="C122" s="41"/>
      <c r="D122" s="42"/>
      <c r="E122" s="43"/>
      <c r="F122" s="44">
        <f t="shared" si="9"/>
        <v>0</v>
      </c>
      <c r="G122" s="45" t="s">
        <v>86</v>
      </c>
      <c r="H122" s="46">
        <f t="shared" si="10"/>
        <v>0</v>
      </c>
      <c r="I122" s="43">
        <f t="shared" si="11"/>
        <v>0</v>
      </c>
      <c r="J122" s="41"/>
      <c r="K122" s="41" t="s">
        <v>95</v>
      </c>
    </row>
    <row r="123" spans="1:11" ht="16.5" customHeight="1" x14ac:dyDescent="0.25">
      <c r="A123" s="39">
        <v>120</v>
      </c>
      <c r="B123" s="40"/>
      <c r="C123" s="41"/>
      <c r="D123" s="42"/>
      <c r="E123" s="43"/>
      <c r="F123" s="47">
        <f t="shared" si="9"/>
        <v>0</v>
      </c>
      <c r="G123" s="45" t="s">
        <v>86</v>
      </c>
      <c r="H123" s="46">
        <f t="shared" si="10"/>
        <v>0</v>
      </c>
      <c r="I123" s="43">
        <f t="shared" si="11"/>
        <v>0</v>
      </c>
      <c r="J123" s="41"/>
      <c r="K123" s="41" t="s">
        <v>95</v>
      </c>
    </row>
    <row r="124" spans="1:11" ht="16.5" customHeight="1" x14ac:dyDescent="0.25">
      <c r="A124" s="39">
        <v>121</v>
      </c>
      <c r="B124" s="40"/>
      <c r="C124" s="41"/>
      <c r="D124" s="42"/>
      <c r="E124" s="43"/>
      <c r="F124" s="44">
        <f t="shared" si="9"/>
        <v>0</v>
      </c>
      <c r="G124" s="45" t="s">
        <v>86</v>
      </c>
      <c r="H124" s="46">
        <f t="shared" si="10"/>
        <v>0</v>
      </c>
      <c r="I124" s="43">
        <f t="shared" si="11"/>
        <v>0</v>
      </c>
      <c r="J124" s="41"/>
      <c r="K124" s="41" t="s">
        <v>95</v>
      </c>
    </row>
    <row r="125" spans="1:11" ht="16.5" customHeight="1" x14ac:dyDescent="0.25">
      <c r="A125" s="39">
        <v>122</v>
      </c>
      <c r="B125" s="40"/>
      <c r="C125" s="41"/>
      <c r="D125" s="42"/>
      <c r="E125" s="43"/>
      <c r="F125" s="47">
        <f t="shared" si="9"/>
        <v>0</v>
      </c>
      <c r="G125" s="45" t="s">
        <v>86</v>
      </c>
      <c r="H125" s="46">
        <f t="shared" si="10"/>
        <v>0</v>
      </c>
      <c r="I125" s="43">
        <f t="shared" si="11"/>
        <v>0</v>
      </c>
      <c r="J125" s="41"/>
      <c r="K125" s="41" t="s">
        <v>95</v>
      </c>
    </row>
    <row r="126" spans="1:11" ht="16.5" customHeight="1" x14ac:dyDescent="0.25">
      <c r="A126" s="39">
        <v>123</v>
      </c>
      <c r="B126" s="40"/>
      <c r="C126" s="41"/>
      <c r="D126" s="42"/>
      <c r="E126" s="43"/>
      <c r="F126" s="44">
        <f t="shared" si="9"/>
        <v>0</v>
      </c>
      <c r="G126" s="45" t="s">
        <v>86</v>
      </c>
      <c r="H126" s="46">
        <f t="shared" si="10"/>
        <v>0</v>
      </c>
      <c r="I126" s="43">
        <f t="shared" si="11"/>
        <v>0</v>
      </c>
      <c r="J126" s="41"/>
      <c r="K126" s="41" t="s">
        <v>95</v>
      </c>
    </row>
    <row r="127" spans="1:11" ht="16.5" customHeight="1" x14ac:dyDescent="0.25">
      <c r="A127" s="39">
        <v>124</v>
      </c>
      <c r="B127" s="40"/>
      <c r="C127" s="41"/>
      <c r="D127" s="42"/>
      <c r="E127" s="43"/>
      <c r="F127" s="47">
        <f t="shared" si="9"/>
        <v>0</v>
      </c>
      <c r="G127" s="45" t="s">
        <v>86</v>
      </c>
      <c r="H127" s="46">
        <f t="shared" si="10"/>
        <v>0</v>
      </c>
      <c r="I127" s="43">
        <f t="shared" si="11"/>
        <v>0</v>
      </c>
      <c r="J127" s="41"/>
      <c r="K127" s="41" t="s">
        <v>95</v>
      </c>
    </row>
    <row r="128" spans="1:11" ht="16.5" customHeight="1" x14ac:dyDescent="0.25">
      <c r="A128" s="39">
        <v>125</v>
      </c>
      <c r="B128" s="40"/>
      <c r="C128" s="41"/>
      <c r="D128" s="42"/>
      <c r="E128" s="43"/>
      <c r="F128" s="44">
        <f t="shared" si="9"/>
        <v>0</v>
      </c>
      <c r="G128" s="45" t="s">
        <v>86</v>
      </c>
      <c r="H128" s="46">
        <f t="shared" si="10"/>
        <v>0</v>
      </c>
      <c r="I128" s="43">
        <f t="shared" si="11"/>
        <v>0</v>
      </c>
      <c r="J128" s="41"/>
      <c r="K128" s="41" t="s">
        <v>95</v>
      </c>
    </row>
    <row r="129" spans="1:11" ht="16.5" customHeight="1" x14ac:dyDescent="0.25">
      <c r="A129" s="39">
        <v>126</v>
      </c>
      <c r="B129" s="40"/>
      <c r="C129" s="41"/>
      <c r="D129" s="42"/>
      <c r="E129" s="43"/>
      <c r="F129" s="47">
        <f t="shared" si="9"/>
        <v>0</v>
      </c>
      <c r="G129" s="45" t="s">
        <v>86</v>
      </c>
      <c r="H129" s="46">
        <f t="shared" si="10"/>
        <v>0</v>
      </c>
      <c r="I129" s="43">
        <f t="shared" si="11"/>
        <v>0</v>
      </c>
      <c r="J129" s="41"/>
      <c r="K129" s="41" t="s">
        <v>95</v>
      </c>
    </row>
    <row r="130" spans="1:11" ht="16.5" customHeight="1" x14ac:dyDescent="0.25">
      <c r="A130" s="39">
        <v>127</v>
      </c>
      <c r="B130" s="40"/>
      <c r="C130" s="41"/>
      <c r="D130" s="42"/>
      <c r="E130" s="43"/>
      <c r="F130" s="44">
        <f t="shared" si="9"/>
        <v>0</v>
      </c>
      <c r="G130" s="45" t="s">
        <v>86</v>
      </c>
      <c r="H130" s="46">
        <f t="shared" si="10"/>
        <v>0</v>
      </c>
      <c r="I130" s="43">
        <f t="shared" si="11"/>
        <v>0</v>
      </c>
      <c r="J130" s="41"/>
      <c r="K130" s="41" t="s">
        <v>95</v>
      </c>
    </row>
    <row r="131" spans="1:11" ht="16.5" customHeight="1" x14ac:dyDescent="0.25">
      <c r="A131" s="39">
        <v>128</v>
      </c>
      <c r="B131" s="40"/>
      <c r="C131" s="41"/>
      <c r="D131" s="42"/>
      <c r="E131" s="43"/>
      <c r="F131" s="47">
        <f t="shared" si="9"/>
        <v>0</v>
      </c>
      <c r="G131" s="45" t="s">
        <v>86</v>
      </c>
      <c r="H131" s="46">
        <f t="shared" si="10"/>
        <v>0</v>
      </c>
      <c r="I131" s="43">
        <f t="shared" si="11"/>
        <v>0</v>
      </c>
      <c r="J131" s="41"/>
      <c r="K131" s="41" t="s">
        <v>95</v>
      </c>
    </row>
    <row r="132" spans="1:11" ht="16.5" customHeight="1" x14ac:dyDescent="0.25">
      <c r="A132" s="39">
        <v>129</v>
      </c>
      <c r="B132" s="40"/>
      <c r="C132" s="41"/>
      <c r="D132" s="42"/>
      <c r="E132" s="43"/>
      <c r="F132" s="44">
        <f t="shared" ref="F132:F163" si="12">IF(ISNUMBER(E132),E132,0)</f>
        <v>0</v>
      </c>
      <c r="G132" s="45" t="s">
        <v>86</v>
      </c>
      <c r="H132" s="46">
        <f t="shared" ref="H132:H163" si="13">IF(ISNUMBER(E132),ROUND(E132*IF(G132="20%",0.2,IF(G132="5%",0.05,0)),2),0)</f>
        <v>0</v>
      </c>
      <c r="I132" s="43">
        <f t="shared" ref="I132:I163" si="14">IF(ISNUMBER(E132),E132+H132,0)</f>
        <v>0</v>
      </c>
      <c r="J132" s="41"/>
      <c r="K132" s="41" t="s">
        <v>95</v>
      </c>
    </row>
    <row r="133" spans="1:11" ht="16.5" customHeight="1" x14ac:dyDescent="0.25">
      <c r="A133" s="39">
        <v>130</v>
      </c>
      <c r="B133" s="40"/>
      <c r="C133" s="41"/>
      <c r="D133" s="42"/>
      <c r="E133" s="43"/>
      <c r="F133" s="47">
        <f t="shared" si="12"/>
        <v>0</v>
      </c>
      <c r="G133" s="45" t="s">
        <v>86</v>
      </c>
      <c r="H133" s="46">
        <f t="shared" si="13"/>
        <v>0</v>
      </c>
      <c r="I133" s="43">
        <f t="shared" si="14"/>
        <v>0</v>
      </c>
      <c r="J133" s="41"/>
      <c r="K133" s="41" t="s">
        <v>95</v>
      </c>
    </row>
    <row r="134" spans="1:11" ht="16.5" customHeight="1" x14ac:dyDescent="0.25">
      <c r="A134" s="39">
        <v>131</v>
      </c>
      <c r="B134" s="40"/>
      <c r="C134" s="41"/>
      <c r="D134" s="42"/>
      <c r="E134" s="43"/>
      <c r="F134" s="44">
        <f t="shared" si="12"/>
        <v>0</v>
      </c>
      <c r="G134" s="45" t="s">
        <v>86</v>
      </c>
      <c r="H134" s="46">
        <f t="shared" si="13"/>
        <v>0</v>
      </c>
      <c r="I134" s="43">
        <f t="shared" si="14"/>
        <v>0</v>
      </c>
      <c r="J134" s="41"/>
      <c r="K134" s="41" t="s">
        <v>95</v>
      </c>
    </row>
    <row r="135" spans="1:11" ht="16.5" customHeight="1" x14ac:dyDescent="0.25">
      <c r="A135" s="39">
        <v>132</v>
      </c>
      <c r="B135" s="40"/>
      <c r="C135" s="41"/>
      <c r="D135" s="42"/>
      <c r="E135" s="43"/>
      <c r="F135" s="47">
        <f t="shared" si="12"/>
        <v>0</v>
      </c>
      <c r="G135" s="45" t="s">
        <v>86</v>
      </c>
      <c r="H135" s="46">
        <f t="shared" si="13"/>
        <v>0</v>
      </c>
      <c r="I135" s="43">
        <f t="shared" si="14"/>
        <v>0</v>
      </c>
      <c r="J135" s="41"/>
      <c r="K135" s="41" t="s">
        <v>95</v>
      </c>
    </row>
    <row r="136" spans="1:11" ht="16.5" customHeight="1" x14ac:dyDescent="0.25">
      <c r="A136" s="39">
        <v>133</v>
      </c>
      <c r="B136" s="40"/>
      <c r="C136" s="41"/>
      <c r="D136" s="42"/>
      <c r="E136" s="43"/>
      <c r="F136" s="44">
        <f t="shared" si="12"/>
        <v>0</v>
      </c>
      <c r="G136" s="45" t="s">
        <v>86</v>
      </c>
      <c r="H136" s="46">
        <f t="shared" si="13"/>
        <v>0</v>
      </c>
      <c r="I136" s="43">
        <f t="shared" si="14"/>
        <v>0</v>
      </c>
      <c r="J136" s="41"/>
      <c r="K136" s="41" t="s">
        <v>95</v>
      </c>
    </row>
    <row r="137" spans="1:11" ht="16.5" customHeight="1" x14ac:dyDescent="0.25">
      <c r="A137" s="39">
        <v>134</v>
      </c>
      <c r="B137" s="40"/>
      <c r="C137" s="41"/>
      <c r="D137" s="42"/>
      <c r="E137" s="43"/>
      <c r="F137" s="47">
        <f t="shared" si="12"/>
        <v>0</v>
      </c>
      <c r="G137" s="45" t="s">
        <v>86</v>
      </c>
      <c r="H137" s="46">
        <f t="shared" si="13"/>
        <v>0</v>
      </c>
      <c r="I137" s="43">
        <f t="shared" si="14"/>
        <v>0</v>
      </c>
      <c r="J137" s="41"/>
      <c r="K137" s="41" t="s">
        <v>95</v>
      </c>
    </row>
    <row r="138" spans="1:11" ht="16.5" customHeight="1" x14ac:dyDescent="0.25">
      <c r="A138" s="39">
        <v>135</v>
      </c>
      <c r="B138" s="40"/>
      <c r="C138" s="41"/>
      <c r="D138" s="42"/>
      <c r="E138" s="43"/>
      <c r="F138" s="44">
        <f t="shared" si="12"/>
        <v>0</v>
      </c>
      <c r="G138" s="45" t="s">
        <v>86</v>
      </c>
      <c r="H138" s="46">
        <f t="shared" si="13"/>
        <v>0</v>
      </c>
      <c r="I138" s="43">
        <f t="shared" si="14"/>
        <v>0</v>
      </c>
      <c r="J138" s="41"/>
      <c r="K138" s="41" t="s">
        <v>95</v>
      </c>
    </row>
    <row r="139" spans="1:11" ht="16.5" customHeight="1" x14ac:dyDescent="0.25">
      <c r="A139" s="39">
        <v>136</v>
      </c>
      <c r="B139" s="40"/>
      <c r="C139" s="41"/>
      <c r="D139" s="42"/>
      <c r="E139" s="43"/>
      <c r="F139" s="47">
        <f t="shared" si="12"/>
        <v>0</v>
      </c>
      <c r="G139" s="45" t="s">
        <v>86</v>
      </c>
      <c r="H139" s="46">
        <f t="shared" si="13"/>
        <v>0</v>
      </c>
      <c r="I139" s="43">
        <f t="shared" si="14"/>
        <v>0</v>
      </c>
      <c r="J139" s="41"/>
      <c r="K139" s="41" t="s">
        <v>95</v>
      </c>
    </row>
    <row r="140" spans="1:11" ht="16.5" customHeight="1" x14ac:dyDescent="0.25">
      <c r="A140" s="39">
        <v>137</v>
      </c>
      <c r="B140" s="40"/>
      <c r="C140" s="41"/>
      <c r="D140" s="42"/>
      <c r="E140" s="43"/>
      <c r="F140" s="44">
        <f t="shared" si="12"/>
        <v>0</v>
      </c>
      <c r="G140" s="45" t="s">
        <v>86</v>
      </c>
      <c r="H140" s="46">
        <f t="shared" si="13"/>
        <v>0</v>
      </c>
      <c r="I140" s="43">
        <f t="shared" si="14"/>
        <v>0</v>
      </c>
      <c r="J140" s="41"/>
      <c r="K140" s="41" t="s">
        <v>95</v>
      </c>
    </row>
    <row r="141" spans="1:11" ht="16.5" customHeight="1" x14ac:dyDescent="0.25">
      <c r="A141" s="39">
        <v>138</v>
      </c>
      <c r="B141" s="40"/>
      <c r="C141" s="41"/>
      <c r="D141" s="42"/>
      <c r="E141" s="43"/>
      <c r="F141" s="47">
        <f t="shared" si="12"/>
        <v>0</v>
      </c>
      <c r="G141" s="45" t="s">
        <v>86</v>
      </c>
      <c r="H141" s="46">
        <f t="shared" si="13"/>
        <v>0</v>
      </c>
      <c r="I141" s="43">
        <f t="shared" si="14"/>
        <v>0</v>
      </c>
      <c r="J141" s="41"/>
      <c r="K141" s="41" t="s">
        <v>95</v>
      </c>
    </row>
    <row r="142" spans="1:11" ht="16.5" customHeight="1" x14ac:dyDescent="0.25">
      <c r="A142" s="39">
        <v>139</v>
      </c>
      <c r="B142" s="40"/>
      <c r="C142" s="41"/>
      <c r="D142" s="42"/>
      <c r="E142" s="43"/>
      <c r="F142" s="44">
        <f t="shared" si="12"/>
        <v>0</v>
      </c>
      <c r="G142" s="45" t="s">
        <v>86</v>
      </c>
      <c r="H142" s="46">
        <f t="shared" si="13"/>
        <v>0</v>
      </c>
      <c r="I142" s="43">
        <f t="shared" si="14"/>
        <v>0</v>
      </c>
      <c r="J142" s="41"/>
      <c r="K142" s="41" t="s">
        <v>95</v>
      </c>
    </row>
    <row r="143" spans="1:11" ht="16.5" customHeight="1" x14ac:dyDescent="0.25">
      <c r="A143" s="39">
        <v>140</v>
      </c>
      <c r="B143" s="40"/>
      <c r="C143" s="41"/>
      <c r="D143" s="42"/>
      <c r="E143" s="43"/>
      <c r="F143" s="47">
        <f t="shared" si="12"/>
        <v>0</v>
      </c>
      <c r="G143" s="45" t="s">
        <v>86</v>
      </c>
      <c r="H143" s="46">
        <f t="shared" si="13"/>
        <v>0</v>
      </c>
      <c r="I143" s="43">
        <f t="shared" si="14"/>
        <v>0</v>
      </c>
      <c r="J143" s="41"/>
      <c r="K143" s="41" t="s">
        <v>95</v>
      </c>
    </row>
    <row r="144" spans="1:11" ht="16.5" customHeight="1" x14ac:dyDescent="0.25">
      <c r="A144" s="39">
        <v>141</v>
      </c>
      <c r="B144" s="40"/>
      <c r="C144" s="41"/>
      <c r="D144" s="42"/>
      <c r="E144" s="43"/>
      <c r="F144" s="44">
        <f t="shared" si="12"/>
        <v>0</v>
      </c>
      <c r="G144" s="45" t="s">
        <v>86</v>
      </c>
      <c r="H144" s="46">
        <f t="shared" si="13"/>
        <v>0</v>
      </c>
      <c r="I144" s="43">
        <f t="shared" si="14"/>
        <v>0</v>
      </c>
      <c r="J144" s="41"/>
      <c r="K144" s="41" t="s">
        <v>95</v>
      </c>
    </row>
    <row r="145" spans="1:11" ht="16.5" customHeight="1" x14ac:dyDescent="0.25">
      <c r="A145" s="39">
        <v>142</v>
      </c>
      <c r="B145" s="40"/>
      <c r="C145" s="41"/>
      <c r="D145" s="42"/>
      <c r="E145" s="43"/>
      <c r="F145" s="47">
        <f t="shared" si="12"/>
        <v>0</v>
      </c>
      <c r="G145" s="45" t="s">
        <v>86</v>
      </c>
      <c r="H145" s="46">
        <f t="shared" si="13"/>
        <v>0</v>
      </c>
      <c r="I145" s="43">
        <f t="shared" si="14"/>
        <v>0</v>
      </c>
      <c r="J145" s="41"/>
      <c r="K145" s="41" t="s">
        <v>95</v>
      </c>
    </row>
    <row r="146" spans="1:11" ht="16.5" customHeight="1" x14ac:dyDescent="0.25">
      <c r="A146" s="39">
        <v>143</v>
      </c>
      <c r="B146" s="40"/>
      <c r="C146" s="41"/>
      <c r="D146" s="42"/>
      <c r="E146" s="43"/>
      <c r="F146" s="44">
        <f t="shared" si="12"/>
        <v>0</v>
      </c>
      <c r="G146" s="45" t="s">
        <v>86</v>
      </c>
      <c r="H146" s="46">
        <f t="shared" si="13"/>
        <v>0</v>
      </c>
      <c r="I146" s="43">
        <f t="shared" si="14"/>
        <v>0</v>
      </c>
      <c r="J146" s="41"/>
      <c r="K146" s="41" t="s">
        <v>95</v>
      </c>
    </row>
    <row r="147" spans="1:11" ht="16.5" customHeight="1" x14ac:dyDescent="0.25">
      <c r="A147" s="39">
        <v>144</v>
      </c>
      <c r="B147" s="40"/>
      <c r="C147" s="41"/>
      <c r="D147" s="42"/>
      <c r="E147" s="43"/>
      <c r="F147" s="47">
        <f t="shared" si="12"/>
        <v>0</v>
      </c>
      <c r="G147" s="45" t="s">
        <v>86</v>
      </c>
      <c r="H147" s="46">
        <f t="shared" si="13"/>
        <v>0</v>
      </c>
      <c r="I147" s="43">
        <f t="shared" si="14"/>
        <v>0</v>
      </c>
      <c r="J147" s="41"/>
      <c r="K147" s="41" t="s">
        <v>95</v>
      </c>
    </row>
    <row r="148" spans="1:11" ht="16.5" customHeight="1" x14ac:dyDescent="0.25">
      <c r="A148" s="39">
        <v>145</v>
      </c>
      <c r="B148" s="40"/>
      <c r="C148" s="41"/>
      <c r="D148" s="42"/>
      <c r="E148" s="43"/>
      <c r="F148" s="44">
        <f t="shared" si="12"/>
        <v>0</v>
      </c>
      <c r="G148" s="45" t="s">
        <v>86</v>
      </c>
      <c r="H148" s="46">
        <f t="shared" si="13"/>
        <v>0</v>
      </c>
      <c r="I148" s="43">
        <f t="shared" si="14"/>
        <v>0</v>
      </c>
      <c r="J148" s="41"/>
      <c r="K148" s="41" t="s">
        <v>95</v>
      </c>
    </row>
    <row r="149" spans="1:11" ht="16.5" customHeight="1" x14ac:dyDescent="0.25">
      <c r="A149" s="39">
        <v>146</v>
      </c>
      <c r="B149" s="40"/>
      <c r="C149" s="41"/>
      <c r="D149" s="42"/>
      <c r="E149" s="43"/>
      <c r="F149" s="47">
        <f t="shared" si="12"/>
        <v>0</v>
      </c>
      <c r="G149" s="45" t="s">
        <v>86</v>
      </c>
      <c r="H149" s="46">
        <f t="shared" si="13"/>
        <v>0</v>
      </c>
      <c r="I149" s="43">
        <f t="shared" si="14"/>
        <v>0</v>
      </c>
      <c r="J149" s="41"/>
      <c r="K149" s="41" t="s">
        <v>95</v>
      </c>
    </row>
    <row r="150" spans="1:11" ht="16.5" customHeight="1" x14ac:dyDescent="0.25">
      <c r="A150" s="39">
        <v>147</v>
      </c>
      <c r="B150" s="40"/>
      <c r="C150" s="41"/>
      <c r="D150" s="42"/>
      <c r="E150" s="43"/>
      <c r="F150" s="44">
        <f t="shared" si="12"/>
        <v>0</v>
      </c>
      <c r="G150" s="45" t="s">
        <v>86</v>
      </c>
      <c r="H150" s="46">
        <f t="shared" si="13"/>
        <v>0</v>
      </c>
      <c r="I150" s="43">
        <f t="shared" si="14"/>
        <v>0</v>
      </c>
      <c r="J150" s="41"/>
      <c r="K150" s="41" t="s">
        <v>95</v>
      </c>
    </row>
    <row r="151" spans="1:11" ht="16.5" customHeight="1" x14ac:dyDescent="0.25">
      <c r="A151" s="39">
        <v>148</v>
      </c>
      <c r="B151" s="40"/>
      <c r="C151" s="41"/>
      <c r="D151" s="42"/>
      <c r="E151" s="43"/>
      <c r="F151" s="47">
        <f t="shared" si="12"/>
        <v>0</v>
      </c>
      <c r="G151" s="45" t="s">
        <v>86</v>
      </c>
      <c r="H151" s="46">
        <f t="shared" si="13"/>
        <v>0</v>
      </c>
      <c r="I151" s="43">
        <f t="shared" si="14"/>
        <v>0</v>
      </c>
      <c r="J151" s="41"/>
      <c r="K151" s="41" t="s">
        <v>95</v>
      </c>
    </row>
    <row r="152" spans="1:11" ht="16.5" customHeight="1" x14ac:dyDescent="0.25">
      <c r="A152" s="39">
        <v>149</v>
      </c>
      <c r="B152" s="40"/>
      <c r="C152" s="41"/>
      <c r="D152" s="42"/>
      <c r="E152" s="43"/>
      <c r="F152" s="44">
        <f t="shared" si="12"/>
        <v>0</v>
      </c>
      <c r="G152" s="45" t="s">
        <v>86</v>
      </c>
      <c r="H152" s="46">
        <f t="shared" si="13"/>
        <v>0</v>
      </c>
      <c r="I152" s="43">
        <f t="shared" si="14"/>
        <v>0</v>
      </c>
      <c r="J152" s="41"/>
      <c r="K152" s="41" t="s">
        <v>95</v>
      </c>
    </row>
    <row r="153" spans="1:11" ht="16.5" customHeight="1" x14ac:dyDescent="0.25">
      <c r="A153" s="39">
        <v>150</v>
      </c>
      <c r="B153" s="40"/>
      <c r="C153" s="41"/>
      <c r="D153" s="42"/>
      <c r="E153" s="43"/>
      <c r="F153" s="47">
        <f t="shared" si="12"/>
        <v>0</v>
      </c>
      <c r="G153" s="45" t="s">
        <v>86</v>
      </c>
      <c r="H153" s="46">
        <f t="shared" si="13"/>
        <v>0</v>
      </c>
      <c r="I153" s="43">
        <f t="shared" si="14"/>
        <v>0</v>
      </c>
      <c r="J153" s="41"/>
      <c r="K153" s="41" t="s">
        <v>95</v>
      </c>
    </row>
    <row r="154" spans="1:11" ht="16.5" customHeight="1" x14ac:dyDescent="0.25">
      <c r="A154" s="39">
        <v>151</v>
      </c>
      <c r="B154" s="40"/>
      <c r="C154" s="41"/>
      <c r="D154" s="42"/>
      <c r="E154" s="43"/>
      <c r="F154" s="44">
        <f t="shared" si="12"/>
        <v>0</v>
      </c>
      <c r="G154" s="45" t="s">
        <v>86</v>
      </c>
      <c r="H154" s="46">
        <f t="shared" si="13"/>
        <v>0</v>
      </c>
      <c r="I154" s="43">
        <f t="shared" si="14"/>
        <v>0</v>
      </c>
      <c r="J154" s="41"/>
      <c r="K154" s="41" t="s">
        <v>95</v>
      </c>
    </row>
    <row r="155" spans="1:11" ht="16.5" customHeight="1" x14ac:dyDescent="0.25">
      <c r="A155" s="39">
        <v>152</v>
      </c>
      <c r="B155" s="40"/>
      <c r="C155" s="41"/>
      <c r="D155" s="42"/>
      <c r="E155" s="43"/>
      <c r="F155" s="47">
        <f t="shared" si="12"/>
        <v>0</v>
      </c>
      <c r="G155" s="45" t="s">
        <v>86</v>
      </c>
      <c r="H155" s="46">
        <f t="shared" si="13"/>
        <v>0</v>
      </c>
      <c r="I155" s="43">
        <f t="shared" si="14"/>
        <v>0</v>
      </c>
      <c r="J155" s="41"/>
      <c r="K155" s="41" t="s">
        <v>95</v>
      </c>
    </row>
    <row r="156" spans="1:11" ht="16.5" customHeight="1" x14ac:dyDescent="0.25">
      <c r="A156" s="39">
        <v>153</v>
      </c>
      <c r="B156" s="40"/>
      <c r="C156" s="41"/>
      <c r="D156" s="42"/>
      <c r="E156" s="43"/>
      <c r="F156" s="44">
        <f t="shared" si="12"/>
        <v>0</v>
      </c>
      <c r="G156" s="45" t="s">
        <v>86</v>
      </c>
      <c r="H156" s="46">
        <f t="shared" si="13"/>
        <v>0</v>
      </c>
      <c r="I156" s="43">
        <f t="shared" si="14"/>
        <v>0</v>
      </c>
      <c r="J156" s="41"/>
      <c r="K156" s="41" t="s">
        <v>95</v>
      </c>
    </row>
    <row r="157" spans="1:11" ht="16.5" customHeight="1" x14ac:dyDescent="0.25">
      <c r="A157" s="39">
        <v>154</v>
      </c>
      <c r="B157" s="40"/>
      <c r="C157" s="41"/>
      <c r="D157" s="42"/>
      <c r="E157" s="43"/>
      <c r="F157" s="47">
        <f t="shared" si="12"/>
        <v>0</v>
      </c>
      <c r="G157" s="45" t="s">
        <v>86</v>
      </c>
      <c r="H157" s="46">
        <f t="shared" si="13"/>
        <v>0</v>
      </c>
      <c r="I157" s="43">
        <f t="shared" si="14"/>
        <v>0</v>
      </c>
      <c r="J157" s="41"/>
      <c r="K157" s="41" t="s">
        <v>95</v>
      </c>
    </row>
    <row r="158" spans="1:11" ht="16.5" customHeight="1" x14ac:dyDescent="0.25">
      <c r="A158" s="39">
        <v>155</v>
      </c>
      <c r="B158" s="40"/>
      <c r="C158" s="41"/>
      <c r="D158" s="42"/>
      <c r="E158" s="43"/>
      <c r="F158" s="44">
        <f t="shared" si="12"/>
        <v>0</v>
      </c>
      <c r="G158" s="45" t="s">
        <v>86</v>
      </c>
      <c r="H158" s="46">
        <f t="shared" si="13"/>
        <v>0</v>
      </c>
      <c r="I158" s="43">
        <f t="shared" si="14"/>
        <v>0</v>
      </c>
      <c r="J158" s="41"/>
      <c r="K158" s="41" t="s">
        <v>95</v>
      </c>
    </row>
    <row r="159" spans="1:11" ht="16.5" customHeight="1" x14ac:dyDescent="0.25">
      <c r="A159" s="39">
        <v>156</v>
      </c>
      <c r="B159" s="40"/>
      <c r="C159" s="41"/>
      <c r="D159" s="42"/>
      <c r="E159" s="43"/>
      <c r="F159" s="47">
        <f t="shared" si="12"/>
        <v>0</v>
      </c>
      <c r="G159" s="45" t="s">
        <v>86</v>
      </c>
      <c r="H159" s="46">
        <f t="shared" si="13"/>
        <v>0</v>
      </c>
      <c r="I159" s="43">
        <f t="shared" si="14"/>
        <v>0</v>
      </c>
      <c r="J159" s="41"/>
      <c r="K159" s="41" t="s">
        <v>95</v>
      </c>
    </row>
    <row r="160" spans="1:11" ht="16.5" customHeight="1" x14ac:dyDescent="0.25">
      <c r="A160" s="39">
        <v>157</v>
      </c>
      <c r="B160" s="40"/>
      <c r="C160" s="41"/>
      <c r="D160" s="42"/>
      <c r="E160" s="43"/>
      <c r="F160" s="44">
        <f t="shared" si="12"/>
        <v>0</v>
      </c>
      <c r="G160" s="45" t="s">
        <v>86</v>
      </c>
      <c r="H160" s="46">
        <f t="shared" si="13"/>
        <v>0</v>
      </c>
      <c r="I160" s="43">
        <f t="shared" si="14"/>
        <v>0</v>
      </c>
      <c r="J160" s="41"/>
      <c r="K160" s="41" t="s">
        <v>95</v>
      </c>
    </row>
    <row r="161" spans="1:11" ht="16.5" customHeight="1" x14ac:dyDescent="0.25">
      <c r="A161" s="39">
        <v>158</v>
      </c>
      <c r="B161" s="40"/>
      <c r="C161" s="41"/>
      <c r="D161" s="42"/>
      <c r="E161" s="43"/>
      <c r="F161" s="47">
        <f t="shared" si="12"/>
        <v>0</v>
      </c>
      <c r="G161" s="45" t="s">
        <v>86</v>
      </c>
      <c r="H161" s="46">
        <f t="shared" si="13"/>
        <v>0</v>
      </c>
      <c r="I161" s="43">
        <f t="shared" si="14"/>
        <v>0</v>
      </c>
      <c r="J161" s="41"/>
      <c r="K161" s="41" t="s">
        <v>95</v>
      </c>
    </row>
    <row r="162" spans="1:11" ht="16.5" customHeight="1" x14ac:dyDescent="0.25">
      <c r="A162" s="39">
        <v>159</v>
      </c>
      <c r="B162" s="40"/>
      <c r="C162" s="41"/>
      <c r="D162" s="42"/>
      <c r="E162" s="43"/>
      <c r="F162" s="44">
        <f t="shared" si="12"/>
        <v>0</v>
      </c>
      <c r="G162" s="45" t="s">
        <v>86</v>
      </c>
      <c r="H162" s="46">
        <f t="shared" si="13"/>
        <v>0</v>
      </c>
      <c r="I162" s="43">
        <f t="shared" si="14"/>
        <v>0</v>
      </c>
      <c r="J162" s="41"/>
      <c r="K162" s="41" t="s">
        <v>95</v>
      </c>
    </row>
    <row r="163" spans="1:11" ht="16.5" customHeight="1" x14ac:dyDescent="0.25">
      <c r="A163" s="39">
        <v>160</v>
      </c>
      <c r="B163" s="40"/>
      <c r="C163" s="41"/>
      <c r="D163" s="42"/>
      <c r="E163" s="43"/>
      <c r="F163" s="47">
        <f t="shared" si="12"/>
        <v>0</v>
      </c>
      <c r="G163" s="45" t="s">
        <v>86</v>
      </c>
      <c r="H163" s="46">
        <f t="shared" si="13"/>
        <v>0</v>
      </c>
      <c r="I163" s="43">
        <f t="shared" si="14"/>
        <v>0</v>
      </c>
      <c r="J163" s="41"/>
      <c r="K163" s="41" t="s">
        <v>95</v>
      </c>
    </row>
    <row r="164" spans="1:11" ht="16.5" customHeight="1" x14ac:dyDescent="0.25">
      <c r="A164" s="39">
        <v>161</v>
      </c>
      <c r="B164" s="40"/>
      <c r="C164" s="41"/>
      <c r="D164" s="42"/>
      <c r="E164" s="43"/>
      <c r="F164" s="44">
        <f t="shared" ref="F164:F195" si="15">IF(ISNUMBER(E164),E164,0)</f>
        <v>0</v>
      </c>
      <c r="G164" s="45" t="s">
        <v>86</v>
      </c>
      <c r="H164" s="46">
        <f t="shared" ref="H164:H195" si="16">IF(ISNUMBER(E164),ROUND(E164*IF(G164="20%",0.2,IF(G164="5%",0.05,0)),2),0)</f>
        <v>0</v>
      </c>
      <c r="I164" s="43">
        <f t="shared" ref="I164:I195" si="17">IF(ISNUMBER(E164),E164+H164,0)</f>
        <v>0</v>
      </c>
      <c r="J164" s="41"/>
      <c r="K164" s="41" t="s">
        <v>95</v>
      </c>
    </row>
    <row r="165" spans="1:11" ht="16.5" customHeight="1" x14ac:dyDescent="0.25">
      <c r="A165" s="39">
        <v>162</v>
      </c>
      <c r="B165" s="40"/>
      <c r="C165" s="41"/>
      <c r="D165" s="42"/>
      <c r="E165" s="43"/>
      <c r="F165" s="47">
        <f t="shared" si="15"/>
        <v>0</v>
      </c>
      <c r="G165" s="45" t="s">
        <v>86</v>
      </c>
      <c r="H165" s="46">
        <f t="shared" si="16"/>
        <v>0</v>
      </c>
      <c r="I165" s="43">
        <f t="shared" si="17"/>
        <v>0</v>
      </c>
      <c r="J165" s="41"/>
      <c r="K165" s="41" t="s">
        <v>95</v>
      </c>
    </row>
    <row r="166" spans="1:11" ht="16.5" customHeight="1" x14ac:dyDescent="0.25">
      <c r="A166" s="39">
        <v>163</v>
      </c>
      <c r="B166" s="40"/>
      <c r="C166" s="41"/>
      <c r="D166" s="42"/>
      <c r="E166" s="43"/>
      <c r="F166" s="44">
        <f t="shared" si="15"/>
        <v>0</v>
      </c>
      <c r="G166" s="45" t="s">
        <v>86</v>
      </c>
      <c r="H166" s="46">
        <f t="shared" si="16"/>
        <v>0</v>
      </c>
      <c r="I166" s="43">
        <f t="shared" si="17"/>
        <v>0</v>
      </c>
      <c r="J166" s="41"/>
      <c r="K166" s="41" t="s">
        <v>95</v>
      </c>
    </row>
    <row r="167" spans="1:11" ht="16.5" customHeight="1" x14ac:dyDescent="0.25">
      <c r="A167" s="39">
        <v>164</v>
      </c>
      <c r="B167" s="40"/>
      <c r="C167" s="41"/>
      <c r="D167" s="42"/>
      <c r="E167" s="43"/>
      <c r="F167" s="47">
        <f t="shared" si="15"/>
        <v>0</v>
      </c>
      <c r="G167" s="45" t="s">
        <v>86</v>
      </c>
      <c r="H167" s="46">
        <f t="shared" si="16"/>
        <v>0</v>
      </c>
      <c r="I167" s="43">
        <f t="shared" si="17"/>
        <v>0</v>
      </c>
      <c r="J167" s="41"/>
      <c r="K167" s="41" t="s">
        <v>95</v>
      </c>
    </row>
    <row r="168" spans="1:11" ht="16.5" customHeight="1" x14ac:dyDescent="0.25">
      <c r="A168" s="39">
        <v>165</v>
      </c>
      <c r="B168" s="40"/>
      <c r="C168" s="41"/>
      <c r="D168" s="42"/>
      <c r="E168" s="43"/>
      <c r="F168" s="44">
        <f t="shared" si="15"/>
        <v>0</v>
      </c>
      <c r="G168" s="45" t="s">
        <v>86</v>
      </c>
      <c r="H168" s="46">
        <f t="shared" si="16"/>
        <v>0</v>
      </c>
      <c r="I168" s="43">
        <f t="shared" si="17"/>
        <v>0</v>
      </c>
      <c r="J168" s="41"/>
      <c r="K168" s="41" t="s">
        <v>95</v>
      </c>
    </row>
    <row r="169" spans="1:11" ht="16.5" customHeight="1" x14ac:dyDescent="0.25">
      <c r="A169" s="39">
        <v>166</v>
      </c>
      <c r="B169" s="40"/>
      <c r="C169" s="41"/>
      <c r="D169" s="42"/>
      <c r="E169" s="43"/>
      <c r="F169" s="47">
        <f t="shared" si="15"/>
        <v>0</v>
      </c>
      <c r="G169" s="45" t="s">
        <v>86</v>
      </c>
      <c r="H169" s="46">
        <f t="shared" si="16"/>
        <v>0</v>
      </c>
      <c r="I169" s="43">
        <f t="shared" si="17"/>
        <v>0</v>
      </c>
      <c r="J169" s="41"/>
      <c r="K169" s="41" t="s">
        <v>95</v>
      </c>
    </row>
    <row r="170" spans="1:11" ht="16.5" customHeight="1" x14ac:dyDescent="0.25">
      <c r="A170" s="39">
        <v>167</v>
      </c>
      <c r="B170" s="40"/>
      <c r="C170" s="41"/>
      <c r="D170" s="42"/>
      <c r="E170" s="43"/>
      <c r="F170" s="44">
        <f t="shared" si="15"/>
        <v>0</v>
      </c>
      <c r="G170" s="45" t="s">
        <v>86</v>
      </c>
      <c r="H170" s="46">
        <f t="shared" si="16"/>
        <v>0</v>
      </c>
      <c r="I170" s="43">
        <f t="shared" si="17"/>
        <v>0</v>
      </c>
      <c r="J170" s="41"/>
      <c r="K170" s="41" t="s">
        <v>95</v>
      </c>
    </row>
    <row r="171" spans="1:11" ht="16.5" customHeight="1" x14ac:dyDescent="0.25">
      <c r="A171" s="39">
        <v>168</v>
      </c>
      <c r="B171" s="40"/>
      <c r="C171" s="41"/>
      <c r="D171" s="42"/>
      <c r="E171" s="43"/>
      <c r="F171" s="47">
        <f t="shared" si="15"/>
        <v>0</v>
      </c>
      <c r="G171" s="45" t="s">
        <v>86</v>
      </c>
      <c r="H171" s="46">
        <f t="shared" si="16"/>
        <v>0</v>
      </c>
      <c r="I171" s="43">
        <f t="shared" si="17"/>
        <v>0</v>
      </c>
      <c r="J171" s="41"/>
      <c r="K171" s="41" t="s">
        <v>95</v>
      </c>
    </row>
    <row r="172" spans="1:11" ht="16.5" customHeight="1" x14ac:dyDescent="0.25">
      <c r="A172" s="39">
        <v>169</v>
      </c>
      <c r="B172" s="40"/>
      <c r="C172" s="41"/>
      <c r="D172" s="42"/>
      <c r="E172" s="43"/>
      <c r="F172" s="44">
        <f t="shared" si="15"/>
        <v>0</v>
      </c>
      <c r="G172" s="45" t="s">
        <v>86</v>
      </c>
      <c r="H172" s="46">
        <f t="shared" si="16"/>
        <v>0</v>
      </c>
      <c r="I172" s="43">
        <f t="shared" si="17"/>
        <v>0</v>
      </c>
      <c r="J172" s="41"/>
      <c r="K172" s="41" t="s">
        <v>95</v>
      </c>
    </row>
    <row r="173" spans="1:11" ht="16.5" customHeight="1" x14ac:dyDescent="0.25">
      <c r="A173" s="39">
        <v>170</v>
      </c>
      <c r="B173" s="40"/>
      <c r="C173" s="41"/>
      <c r="D173" s="42"/>
      <c r="E173" s="43"/>
      <c r="F173" s="47">
        <f t="shared" si="15"/>
        <v>0</v>
      </c>
      <c r="G173" s="45" t="s">
        <v>86</v>
      </c>
      <c r="H173" s="46">
        <f t="shared" si="16"/>
        <v>0</v>
      </c>
      <c r="I173" s="43">
        <f t="shared" si="17"/>
        <v>0</v>
      </c>
      <c r="J173" s="41"/>
      <c r="K173" s="41" t="s">
        <v>95</v>
      </c>
    </row>
    <row r="174" spans="1:11" ht="16.5" customHeight="1" x14ac:dyDescent="0.25">
      <c r="A174" s="39">
        <v>171</v>
      </c>
      <c r="B174" s="40"/>
      <c r="C174" s="41"/>
      <c r="D174" s="42"/>
      <c r="E174" s="43"/>
      <c r="F174" s="44">
        <f t="shared" si="15"/>
        <v>0</v>
      </c>
      <c r="G174" s="45" t="s">
        <v>86</v>
      </c>
      <c r="H174" s="46">
        <f t="shared" si="16"/>
        <v>0</v>
      </c>
      <c r="I174" s="43">
        <f t="shared" si="17"/>
        <v>0</v>
      </c>
      <c r="J174" s="41"/>
      <c r="K174" s="41" t="s">
        <v>95</v>
      </c>
    </row>
    <row r="175" spans="1:11" ht="16.5" customHeight="1" x14ac:dyDescent="0.25">
      <c r="A175" s="39">
        <v>172</v>
      </c>
      <c r="B175" s="40"/>
      <c r="C175" s="41"/>
      <c r="D175" s="42"/>
      <c r="E175" s="43"/>
      <c r="F175" s="47">
        <f t="shared" si="15"/>
        <v>0</v>
      </c>
      <c r="G175" s="45" t="s">
        <v>86</v>
      </c>
      <c r="H175" s="46">
        <f t="shared" si="16"/>
        <v>0</v>
      </c>
      <c r="I175" s="43">
        <f t="shared" si="17"/>
        <v>0</v>
      </c>
      <c r="J175" s="41"/>
      <c r="K175" s="41" t="s">
        <v>95</v>
      </c>
    </row>
    <row r="176" spans="1:11" ht="16.5" customHeight="1" x14ac:dyDescent="0.25">
      <c r="A176" s="39">
        <v>173</v>
      </c>
      <c r="B176" s="40"/>
      <c r="C176" s="41"/>
      <c r="D176" s="42"/>
      <c r="E176" s="43"/>
      <c r="F176" s="44">
        <f t="shared" si="15"/>
        <v>0</v>
      </c>
      <c r="G176" s="45" t="s">
        <v>86</v>
      </c>
      <c r="H176" s="46">
        <f t="shared" si="16"/>
        <v>0</v>
      </c>
      <c r="I176" s="43">
        <f t="shared" si="17"/>
        <v>0</v>
      </c>
      <c r="J176" s="41"/>
      <c r="K176" s="41" t="s">
        <v>95</v>
      </c>
    </row>
    <row r="177" spans="1:11" ht="16.5" customHeight="1" x14ac:dyDescent="0.25">
      <c r="A177" s="39">
        <v>174</v>
      </c>
      <c r="B177" s="40"/>
      <c r="C177" s="41"/>
      <c r="D177" s="42"/>
      <c r="E177" s="43"/>
      <c r="F177" s="47">
        <f t="shared" si="15"/>
        <v>0</v>
      </c>
      <c r="G177" s="45" t="s">
        <v>86</v>
      </c>
      <c r="H177" s="46">
        <f t="shared" si="16"/>
        <v>0</v>
      </c>
      <c r="I177" s="43">
        <f t="shared" si="17"/>
        <v>0</v>
      </c>
      <c r="J177" s="41"/>
      <c r="K177" s="41" t="s">
        <v>95</v>
      </c>
    </row>
    <row r="178" spans="1:11" ht="16.5" customHeight="1" x14ac:dyDescent="0.25">
      <c r="A178" s="39">
        <v>175</v>
      </c>
      <c r="B178" s="40"/>
      <c r="C178" s="41"/>
      <c r="D178" s="42"/>
      <c r="E178" s="43"/>
      <c r="F178" s="44">
        <f t="shared" si="15"/>
        <v>0</v>
      </c>
      <c r="G178" s="45" t="s">
        <v>86</v>
      </c>
      <c r="H178" s="46">
        <f t="shared" si="16"/>
        <v>0</v>
      </c>
      <c r="I178" s="43">
        <f t="shared" si="17"/>
        <v>0</v>
      </c>
      <c r="J178" s="41"/>
      <c r="K178" s="41" t="s">
        <v>95</v>
      </c>
    </row>
    <row r="179" spans="1:11" ht="16.5" customHeight="1" x14ac:dyDescent="0.25">
      <c r="A179" s="39">
        <v>176</v>
      </c>
      <c r="B179" s="40"/>
      <c r="C179" s="41"/>
      <c r="D179" s="42"/>
      <c r="E179" s="43"/>
      <c r="F179" s="47">
        <f t="shared" si="15"/>
        <v>0</v>
      </c>
      <c r="G179" s="45" t="s">
        <v>86</v>
      </c>
      <c r="H179" s="46">
        <f t="shared" si="16"/>
        <v>0</v>
      </c>
      <c r="I179" s="43">
        <f t="shared" si="17"/>
        <v>0</v>
      </c>
      <c r="J179" s="41"/>
      <c r="K179" s="41" t="s">
        <v>95</v>
      </c>
    </row>
    <row r="180" spans="1:11" ht="16.5" customHeight="1" x14ac:dyDescent="0.25">
      <c r="A180" s="39">
        <v>177</v>
      </c>
      <c r="B180" s="40"/>
      <c r="C180" s="41"/>
      <c r="D180" s="42"/>
      <c r="E180" s="43"/>
      <c r="F180" s="44">
        <f t="shared" si="15"/>
        <v>0</v>
      </c>
      <c r="G180" s="45" t="s">
        <v>86</v>
      </c>
      <c r="H180" s="46">
        <f t="shared" si="16"/>
        <v>0</v>
      </c>
      <c r="I180" s="43">
        <f t="shared" si="17"/>
        <v>0</v>
      </c>
      <c r="J180" s="41"/>
      <c r="K180" s="41" t="s">
        <v>95</v>
      </c>
    </row>
    <row r="181" spans="1:11" ht="16.5" customHeight="1" x14ac:dyDescent="0.25">
      <c r="A181" s="39">
        <v>178</v>
      </c>
      <c r="B181" s="40"/>
      <c r="C181" s="41"/>
      <c r="D181" s="42"/>
      <c r="E181" s="43"/>
      <c r="F181" s="47">
        <f t="shared" si="15"/>
        <v>0</v>
      </c>
      <c r="G181" s="45" t="s">
        <v>86</v>
      </c>
      <c r="H181" s="46">
        <f t="shared" si="16"/>
        <v>0</v>
      </c>
      <c r="I181" s="43">
        <f t="shared" si="17"/>
        <v>0</v>
      </c>
      <c r="J181" s="41"/>
      <c r="K181" s="41" t="s">
        <v>95</v>
      </c>
    </row>
    <row r="182" spans="1:11" ht="16.5" customHeight="1" x14ac:dyDescent="0.25">
      <c r="A182" s="39">
        <v>179</v>
      </c>
      <c r="B182" s="40"/>
      <c r="C182" s="41"/>
      <c r="D182" s="42"/>
      <c r="E182" s="43"/>
      <c r="F182" s="44">
        <f t="shared" si="15"/>
        <v>0</v>
      </c>
      <c r="G182" s="45" t="s">
        <v>86</v>
      </c>
      <c r="H182" s="46">
        <f t="shared" si="16"/>
        <v>0</v>
      </c>
      <c r="I182" s="43">
        <f t="shared" si="17"/>
        <v>0</v>
      </c>
      <c r="J182" s="41"/>
      <c r="K182" s="41" t="s">
        <v>95</v>
      </c>
    </row>
    <row r="183" spans="1:11" ht="16.5" customHeight="1" x14ac:dyDescent="0.25">
      <c r="A183" s="39">
        <v>180</v>
      </c>
      <c r="B183" s="40"/>
      <c r="C183" s="41"/>
      <c r="D183" s="42"/>
      <c r="E183" s="43"/>
      <c r="F183" s="47">
        <f t="shared" si="15"/>
        <v>0</v>
      </c>
      <c r="G183" s="45" t="s">
        <v>86</v>
      </c>
      <c r="H183" s="46">
        <f t="shared" si="16"/>
        <v>0</v>
      </c>
      <c r="I183" s="43">
        <f t="shared" si="17"/>
        <v>0</v>
      </c>
      <c r="J183" s="41"/>
      <c r="K183" s="41" t="s">
        <v>95</v>
      </c>
    </row>
    <row r="184" spans="1:11" ht="16.5" customHeight="1" x14ac:dyDescent="0.25">
      <c r="A184" s="39">
        <v>181</v>
      </c>
      <c r="B184" s="40"/>
      <c r="C184" s="41"/>
      <c r="D184" s="42"/>
      <c r="E184" s="43"/>
      <c r="F184" s="44">
        <f t="shared" si="15"/>
        <v>0</v>
      </c>
      <c r="G184" s="45" t="s">
        <v>86</v>
      </c>
      <c r="H184" s="46">
        <f t="shared" si="16"/>
        <v>0</v>
      </c>
      <c r="I184" s="43">
        <f t="shared" si="17"/>
        <v>0</v>
      </c>
      <c r="J184" s="41"/>
      <c r="K184" s="41" t="s">
        <v>95</v>
      </c>
    </row>
    <row r="185" spans="1:11" ht="16.5" customHeight="1" x14ac:dyDescent="0.25">
      <c r="A185" s="39">
        <v>182</v>
      </c>
      <c r="B185" s="40"/>
      <c r="C185" s="41"/>
      <c r="D185" s="42"/>
      <c r="E185" s="43"/>
      <c r="F185" s="47">
        <f t="shared" si="15"/>
        <v>0</v>
      </c>
      <c r="G185" s="45" t="s">
        <v>86</v>
      </c>
      <c r="H185" s="46">
        <f t="shared" si="16"/>
        <v>0</v>
      </c>
      <c r="I185" s="43">
        <f t="shared" si="17"/>
        <v>0</v>
      </c>
      <c r="J185" s="41"/>
      <c r="K185" s="41" t="s">
        <v>95</v>
      </c>
    </row>
    <row r="186" spans="1:11" ht="16.5" customHeight="1" x14ac:dyDescent="0.25">
      <c r="A186" s="39">
        <v>183</v>
      </c>
      <c r="B186" s="40"/>
      <c r="C186" s="41"/>
      <c r="D186" s="42"/>
      <c r="E186" s="43"/>
      <c r="F186" s="44">
        <f t="shared" si="15"/>
        <v>0</v>
      </c>
      <c r="G186" s="45" t="s">
        <v>86</v>
      </c>
      <c r="H186" s="46">
        <f t="shared" si="16"/>
        <v>0</v>
      </c>
      <c r="I186" s="43">
        <f t="shared" si="17"/>
        <v>0</v>
      </c>
      <c r="J186" s="41"/>
      <c r="K186" s="41" t="s">
        <v>95</v>
      </c>
    </row>
    <row r="187" spans="1:11" ht="16.5" customHeight="1" x14ac:dyDescent="0.25">
      <c r="A187" s="39">
        <v>184</v>
      </c>
      <c r="B187" s="40"/>
      <c r="C187" s="41"/>
      <c r="D187" s="42"/>
      <c r="E187" s="43"/>
      <c r="F187" s="47">
        <f t="shared" si="15"/>
        <v>0</v>
      </c>
      <c r="G187" s="45" t="s">
        <v>86</v>
      </c>
      <c r="H187" s="46">
        <f t="shared" si="16"/>
        <v>0</v>
      </c>
      <c r="I187" s="43">
        <f t="shared" si="17"/>
        <v>0</v>
      </c>
      <c r="J187" s="41"/>
      <c r="K187" s="41" t="s">
        <v>95</v>
      </c>
    </row>
    <row r="188" spans="1:11" ht="16.5" customHeight="1" x14ac:dyDescent="0.25">
      <c r="A188" s="39">
        <v>185</v>
      </c>
      <c r="B188" s="40"/>
      <c r="C188" s="41"/>
      <c r="D188" s="42"/>
      <c r="E188" s="43"/>
      <c r="F188" s="44">
        <f t="shared" si="15"/>
        <v>0</v>
      </c>
      <c r="G188" s="45" t="s">
        <v>86</v>
      </c>
      <c r="H188" s="46">
        <f t="shared" si="16"/>
        <v>0</v>
      </c>
      <c r="I188" s="43">
        <f t="shared" si="17"/>
        <v>0</v>
      </c>
      <c r="J188" s="41"/>
      <c r="K188" s="41" t="s">
        <v>95</v>
      </c>
    </row>
    <row r="189" spans="1:11" ht="16.5" customHeight="1" x14ac:dyDescent="0.25">
      <c r="A189" s="39">
        <v>186</v>
      </c>
      <c r="B189" s="40"/>
      <c r="C189" s="41"/>
      <c r="D189" s="42"/>
      <c r="E189" s="43"/>
      <c r="F189" s="47">
        <f t="shared" si="15"/>
        <v>0</v>
      </c>
      <c r="G189" s="45" t="s">
        <v>86</v>
      </c>
      <c r="H189" s="46">
        <f t="shared" si="16"/>
        <v>0</v>
      </c>
      <c r="I189" s="43">
        <f t="shared" si="17"/>
        <v>0</v>
      </c>
      <c r="J189" s="41"/>
      <c r="K189" s="41" t="s">
        <v>95</v>
      </c>
    </row>
    <row r="190" spans="1:11" ht="16.5" customHeight="1" x14ac:dyDescent="0.25">
      <c r="A190" s="39">
        <v>187</v>
      </c>
      <c r="B190" s="40"/>
      <c r="C190" s="41"/>
      <c r="D190" s="42"/>
      <c r="E190" s="43"/>
      <c r="F190" s="44">
        <f t="shared" si="15"/>
        <v>0</v>
      </c>
      <c r="G190" s="45" t="s">
        <v>86</v>
      </c>
      <c r="H190" s="46">
        <f t="shared" si="16"/>
        <v>0</v>
      </c>
      <c r="I190" s="43">
        <f t="shared" si="17"/>
        <v>0</v>
      </c>
      <c r="J190" s="41"/>
      <c r="K190" s="41" t="s">
        <v>95</v>
      </c>
    </row>
    <row r="191" spans="1:11" ht="16.5" customHeight="1" x14ac:dyDescent="0.25">
      <c r="A191" s="39">
        <v>188</v>
      </c>
      <c r="B191" s="40"/>
      <c r="C191" s="41"/>
      <c r="D191" s="42"/>
      <c r="E191" s="43"/>
      <c r="F191" s="47">
        <f t="shared" si="15"/>
        <v>0</v>
      </c>
      <c r="G191" s="45" t="s">
        <v>86</v>
      </c>
      <c r="H191" s="46">
        <f t="shared" si="16"/>
        <v>0</v>
      </c>
      <c r="I191" s="43">
        <f t="shared" si="17"/>
        <v>0</v>
      </c>
      <c r="J191" s="41"/>
      <c r="K191" s="41" t="s">
        <v>95</v>
      </c>
    </row>
    <row r="192" spans="1:11" ht="16.5" customHeight="1" x14ac:dyDescent="0.25">
      <c r="A192" s="39">
        <v>189</v>
      </c>
      <c r="B192" s="40"/>
      <c r="C192" s="41"/>
      <c r="D192" s="42"/>
      <c r="E192" s="43"/>
      <c r="F192" s="44">
        <f t="shared" si="15"/>
        <v>0</v>
      </c>
      <c r="G192" s="45" t="s">
        <v>86</v>
      </c>
      <c r="H192" s="46">
        <f t="shared" si="16"/>
        <v>0</v>
      </c>
      <c r="I192" s="43">
        <f t="shared" si="17"/>
        <v>0</v>
      </c>
      <c r="J192" s="41"/>
      <c r="K192" s="41" t="s">
        <v>95</v>
      </c>
    </row>
    <row r="193" spans="1:11" ht="16.5" customHeight="1" x14ac:dyDescent="0.25">
      <c r="A193" s="39">
        <v>190</v>
      </c>
      <c r="B193" s="40"/>
      <c r="C193" s="41"/>
      <c r="D193" s="42"/>
      <c r="E193" s="43"/>
      <c r="F193" s="47">
        <f t="shared" si="15"/>
        <v>0</v>
      </c>
      <c r="G193" s="45" t="s">
        <v>86</v>
      </c>
      <c r="H193" s="46">
        <f t="shared" si="16"/>
        <v>0</v>
      </c>
      <c r="I193" s="43">
        <f t="shared" si="17"/>
        <v>0</v>
      </c>
      <c r="J193" s="41"/>
      <c r="K193" s="41" t="s">
        <v>95</v>
      </c>
    </row>
    <row r="194" spans="1:11" ht="16.5" customHeight="1" x14ac:dyDescent="0.25">
      <c r="A194" s="39">
        <v>191</v>
      </c>
      <c r="B194" s="40"/>
      <c r="C194" s="41"/>
      <c r="D194" s="42"/>
      <c r="E194" s="43"/>
      <c r="F194" s="44">
        <f t="shared" si="15"/>
        <v>0</v>
      </c>
      <c r="G194" s="45" t="s">
        <v>86</v>
      </c>
      <c r="H194" s="46">
        <f t="shared" si="16"/>
        <v>0</v>
      </c>
      <c r="I194" s="43">
        <f t="shared" si="17"/>
        <v>0</v>
      </c>
      <c r="J194" s="41"/>
      <c r="K194" s="41" t="s">
        <v>95</v>
      </c>
    </row>
    <row r="195" spans="1:11" ht="16.5" customHeight="1" x14ac:dyDescent="0.25">
      <c r="A195" s="39">
        <v>192</v>
      </c>
      <c r="B195" s="40"/>
      <c r="C195" s="41"/>
      <c r="D195" s="42"/>
      <c r="E195" s="43"/>
      <c r="F195" s="47">
        <f t="shared" si="15"/>
        <v>0</v>
      </c>
      <c r="G195" s="45" t="s">
        <v>86</v>
      </c>
      <c r="H195" s="46">
        <f t="shared" si="16"/>
        <v>0</v>
      </c>
      <c r="I195" s="43">
        <f t="shared" si="17"/>
        <v>0</v>
      </c>
      <c r="J195" s="41"/>
      <c r="K195" s="41" t="s">
        <v>95</v>
      </c>
    </row>
    <row r="196" spans="1:11" ht="16.5" customHeight="1" x14ac:dyDescent="0.25">
      <c r="A196" s="39">
        <v>193</v>
      </c>
      <c r="B196" s="40"/>
      <c r="C196" s="41"/>
      <c r="D196" s="42"/>
      <c r="E196" s="43"/>
      <c r="F196" s="44">
        <f t="shared" ref="F196:F227" si="18">IF(ISNUMBER(E196),E196,0)</f>
        <v>0</v>
      </c>
      <c r="G196" s="45" t="s">
        <v>86</v>
      </c>
      <c r="H196" s="46">
        <f t="shared" ref="H196:H227" si="19">IF(ISNUMBER(E196),ROUND(E196*IF(G196="20%",0.2,IF(G196="5%",0.05,0)),2),0)</f>
        <v>0</v>
      </c>
      <c r="I196" s="43">
        <f t="shared" ref="I196:I227" si="20">IF(ISNUMBER(E196),E196+H196,0)</f>
        <v>0</v>
      </c>
      <c r="J196" s="41"/>
      <c r="K196" s="41" t="s">
        <v>95</v>
      </c>
    </row>
    <row r="197" spans="1:11" ht="16.5" customHeight="1" x14ac:dyDescent="0.25">
      <c r="A197" s="39">
        <v>194</v>
      </c>
      <c r="B197" s="40"/>
      <c r="C197" s="41"/>
      <c r="D197" s="42"/>
      <c r="E197" s="43"/>
      <c r="F197" s="47">
        <f t="shared" si="18"/>
        <v>0</v>
      </c>
      <c r="G197" s="45" t="s">
        <v>86</v>
      </c>
      <c r="H197" s="46">
        <f t="shared" si="19"/>
        <v>0</v>
      </c>
      <c r="I197" s="43">
        <f t="shared" si="20"/>
        <v>0</v>
      </c>
      <c r="J197" s="41"/>
      <c r="K197" s="41" t="s">
        <v>95</v>
      </c>
    </row>
    <row r="198" spans="1:11" ht="16.5" customHeight="1" x14ac:dyDescent="0.25">
      <c r="A198" s="39">
        <v>195</v>
      </c>
      <c r="B198" s="40"/>
      <c r="C198" s="41"/>
      <c r="D198" s="42"/>
      <c r="E198" s="43"/>
      <c r="F198" s="44">
        <f t="shared" si="18"/>
        <v>0</v>
      </c>
      <c r="G198" s="45" t="s">
        <v>86</v>
      </c>
      <c r="H198" s="46">
        <f t="shared" si="19"/>
        <v>0</v>
      </c>
      <c r="I198" s="43">
        <f t="shared" si="20"/>
        <v>0</v>
      </c>
      <c r="J198" s="41"/>
      <c r="K198" s="41" t="s">
        <v>95</v>
      </c>
    </row>
    <row r="199" spans="1:11" ht="16.5" customHeight="1" x14ac:dyDescent="0.25">
      <c r="A199" s="39">
        <v>196</v>
      </c>
      <c r="B199" s="40"/>
      <c r="C199" s="41"/>
      <c r="D199" s="42"/>
      <c r="E199" s="43"/>
      <c r="F199" s="47">
        <f t="shared" si="18"/>
        <v>0</v>
      </c>
      <c r="G199" s="45" t="s">
        <v>86</v>
      </c>
      <c r="H199" s="46">
        <f t="shared" si="19"/>
        <v>0</v>
      </c>
      <c r="I199" s="43">
        <f t="shared" si="20"/>
        <v>0</v>
      </c>
      <c r="J199" s="41"/>
      <c r="K199" s="41" t="s">
        <v>95</v>
      </c>
    </row>
    <row r="200" spans="1:11" ht="16.5" customHeight="1" x14ac:dyDescent="0.25">
      <c r="A200" s="39">
        <v>197</v>
      </c>
      <c r="B200" s="40"/>
      <c r="C200" s="41"/>
      <c r="D200" s="42"/>
      <c r="E200" s="43"/>
      <c r="F200" s="44">
        <f t="shared" si="18"/>
        <v>0</v>
      </c>
      <c r="G200" s="45" t="s">
        <v>86</v>
      </c>
      <c r="H200" s="46">
        <f t="shared" si="19"/>
        <v>0</v>
      </c>
      <c r="I200" s="43">
        <f t="shared" si="20"/>
        <v>0</v>
      </c>
      <c r="J200" s="41"/>
      <c r="K200" s="41" t="s">
        <v>95</v>
      </c>
    </row>
    <row r="201" spans="1:11" ht="16.5" customHeight="1" x14ac:dyDescent="0.25">
      <c r="A201" s="39">
        <v>198</v>
      </c>
      <c r="B201" s="40"/>
      <c r="C201" s="41"/>
      <c r="D201" s="42"/>
      <c r="E201" s="43"/>
      <c r="F201" s="47">
        <f t="shared" si="18"/>
        <v>0</v>
      </c>
      <c r="G201" s="45" t="s">
        <v>86</v>
      </c>
      <c r="H201" s="46">
        <f t="shared" si="19"/>
        <v>0</v>
      </c>
      <c r="I201" s="43">
        <f t="shared" si="20"/>
        <v>0</v>
      </c>
      <c r="J201" s="41"/>
      <c r="K201" s="41" t="s">
        <v>95</v>
      </c>
    </row>
    <row r="202" spans="1:11" ht="16.5" customHeight="1" x14ac:dyDescent="0.25">
      <c r="A202" s="39">
        <v>199</v>
      </c>
      <c r="B202" s="40"/>
      <c r="C202" s="41"/>
      <c r="D202" s="42"/>
      <c r="E202" s="43"/>
      <c r="F202" s="44">
        <f t="shared" si="18"/>
        <v>0</v>
      </c>
      <c r="G202" s="45" t="s">
        <v>86</v>
      </c>
      <c r="H202" s="46">
        <f t="shared" si="19"/>
        <v>0</v>
      </c>
      <c r="I202" s="43">
        <f t="shared" si="20"/>
        <v>0</v>
      </c>
      <c r="J202" s="41"/>
      <c r="K202" s="41" t="s">
        <v>95</v>
      </c>
    </row>
    <row r="203" spans="1:11" ht="16.5" customHeight="1" x14ac:dyDescent="0.25">
      <c r="A203" s="39">
        <v>200</v>
      </c>
      <c r="B203" s="40"/>
      <c r="C203" s="41"/>
      <c r="D203" s="42"/>
      <c r="E203" s="43"/>
      <c r="F203" s="47">
        <f t="shared" si="18"/>
        <v>0</v>
      </c>
      <c r="G203" s="45" t="s">
        <v>86</v>
      </c>
      <c r="H203" s="46">
        <f t="shared" si="19"/>
        <v>0</v>
      </c>
      <c r="I203" s="43">
        <f t="shared" si="20"/>
        <v>0</v>
      </c>
      <c r="J203" s="41"/>
      <c r="K203" s="41" t="s">
        <v>95</v>
      </c>
    </row>
    <row r="205" spans="1:11" ht="21.75" customHeight="1" x14ac:dyDescent="0.25">
      <c r="A205" s="57" t="s">
        <v>42</v>
      </c>
      <c r="B205" s="57"/>
      <c r="C205" s="57"/>
      <c r="D205" s="57"/>
      <c r="E205" s="57"/>
      <c r="F205" s="57"/>
      <c r="G205" s="57"/>
      <c r="H205" s="57"/>
      <c r="I205" s="57"/>
      <c r="J205" s="57"/>
      <c r="K205" s="57"/>
    </row>
  </sheetData>
  <mergeCells count="3">
    <mergeCell ref="A1:K1"/>
    <mergeCell ref="A2:K2"/>
    <mergeCell ref="A205:K205"/>
  </mergeCells>
  <dataValidations count="2">
    <dataValidation type="list" sqref="G4:G203" xr:uid="{00000000-0002-0000-0300-000000000000}">
      <formula1>"0%,5%,20%"</formula1>
      <formula2>0</formula2>
    </dataValidation>
    <dataValidation type="list" sqref="K4:K203" xr:uid="{00000000-0002-0000-0300-000001000000}">
      <formula1>"Claimable,Not Claimable (FRS),Capital Goods FRS,Blocked Input,Exempt"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951A"/>
  </sheetPr>
  <dimension ref="A1:F31"/>
  <sheetViews>
    <sheetView showGridLines="0" zoomScale="85" zoomScaleNormal="85" workbookViewId="0">
      <selection sqref="A1:F1"/>
    </sheetView>
  </sheetViews>
  <sheetFormatPr defaultColWidth="8.7109375" defaultRowHeight="15" x14ac:dyDescent="0.25"/>
  <cols>
    <col min="1" max="1" width="5" style="15" customWidth="1"/>
    <col min="2" max="2" width="38" style="15" customWidth="1"/>
    <col min="3" max="3" width="20" style="15" customWidth="1"/>
    <col min="4" max="4" width="22" style="15" customWidth="1"/>
    <col min="5" max="5" width="20" style="15" customWidth="1"/>
    <col min="6" max="6" width="8" style="15" customWidth="1"/>
  </cols>
  <sheetData>
    <row r="1" spans="1:6" ht="37.5" customHeight="1" x14ac:dyDescent="0.25">
      <c r="A1" s="64" t="s">
        <v>96</v>
      </c>
      <c r="B1" s="64"/>
      <c r="C1" s="64"/>
      <c r="D1" s="64"/>
      <c r="E1" s="64"/>
      <c r="F1" s="64"/>
    </row>
    <row r="2" spans="1:6" ht="18" customHeight="1" x14ac:dyDescent="0.25">
      <c r="A2" s="59" t="s">
        <v>97</v>
      </c>
      <c r="B2" s="59"/>
      <c r="C2" s="59"/>
      <c r="D2" s="59"/>
      <c r="E2" s="59"/>
      <c r="F2" s="59"/>
    </row>
    <row r="3" spans="1:6" ht="9.75" customHeight="1" x14ac:dyDescent="0.25"/>
    <row r="4" spans="1:6" ht="19.5" customHeight="1" x14ac:dyDescent="0.25">
      <c r="A4" s="12" t="s">
        <v>98</v>
      </c>
      <c r="B4" s="12"/>
      <c r="C4" s="12"/>
      <c r="D4" s="12"/>
      <c r="E4" s="12"/>
      <c r="F4" s="12"/>
    </row>
    <row r="5" spans="1:6" ht="24" customHeight="1" x14ac:dyDescent="0.25">
      <c r="A5" s="6" t="s">
        <v>99</v>
      </c>
      <c r="B5" s="6"/>
      <c r="C5" s="48">
        <f>IFERROR(Sales!I3,0)</f>
        <v>0</v>
      </c>
    </row>
    <row r="6" spans="1:6" ht="24" customHeight="1" x14ac:dyDescent="0.25">
      <c r="A6" s="6" t="s">
        <v>100</v>
      </c>
      <c r="B6" s="6"/>
      <c r="C6" s="49">
        <f>Dashboard!B16</f>
        <v>0.16500000000000001</v>
      </c>
    </row>
    <row r="7" spans="1:6" ht="24" customHeight="1" x14ac:dyDescent="0.25">
      <c r="A7" s="66" t="s">
        <v>101</v>
      </c>
      <c r="B7" s="66"/>
      <c r="C7" s="50">
        <f>ROUND(IFERROR(C5,0)*IFERROR(C6,0),2)</f>
        <v>0</v>
      </c>
    </row>
    <row r="8" spans="1:6" ht="24" customHeight="1" x14ac:dyDescent="0.25">
      <c r="A8" s="6" t="s">
        <v>102</v>
      </c>
      <c r="B8" s="6"/>
      <c r="C8" s="48">
        <f>ROUND(IFERROR(Sales!F3,0)*0.2,2)</f>
        <v>0</v>
      </c>
    </row>
    <row r="9" spans="1:6" ht="24" customHeight="1" x14ac:dyDescent="0.25">
      <c r="A9" s="66" t="s">
        <v>103</v>
      </c>
      <c r="B9" s="66"/>
      <c r="C9" s="50">
        <f>ROUND(IFERROR(C8,0)-IFERROR(C7,0),2)</f>
        <v>0</v>
      </c>
    </row>
    <row r="10" spans="1:6" ht="24" customHeight="1" x14ac:dyDescent="0.25">
      <c r="A10" s="6" t="s">
        <v>104</v>
      </c>
      <c r="B10" s="6"/>
      <c r="C10" s="48">
        <f>IFERROR(Sales!F3,0)</f>
        <v>0</v>
      </c>
    </row>
    <row r="11" spans="1:6" ht="9.75" customHeight="1" x14ac:dyDescent="0.25"/>
    <row r="12" spans="1:6" ht="19.5" customHeight="1" x14ac:dyDescent="0.25">
      <c r="A12" s="12" t="s">
        <v>105</v>
      </c>
      <c r="B12" s="12"/>
      <c r="C12" s="12"/>
      <c r="D12" s="12"/>
      <c r="E12" s="12"/>
      <c r="F12" s="12"/>
    </row>
    <row r="13" spans="1:6" ht="24" customHeight="1" x14ac:dyDescent="0.25">
      <c r="A13" s="18" t="s">
        <v>106</v>
      </c>
      <c r="B13" s="18"/>
      <c r="C13" s="18" t="s">
        <v>107</v>
      </c>
      <c r="D13" s="18" t="s">
        <v>108</v>
      </c>
      <c r="E13" s="18" t="s">
        <v>109</v>
      </c>
      <c r="F13" s="18"/>
    </row>
    <row r="14" spans="1:6" ht="18" customHeight="1" x14ac:dyDescent="0.25">
      <c r="A14" s="6" t="s">
        <v>110</v>
      </c>
      <c r="B14" s="6"/>
      <c r="C14" s="51" t="s">
        <v>111</v>
      </c>
      <c r="D14" s="52" t="s">
        <v>112</v>
      </c>
      <c r="E14" s="67" t="s">
        <v>113</v>
      </c>
      <c r="F14" s="67"/>
    </row>
    <row r="15" spans="1:6" ht="18" customHeight="1" x14ac:dyDescent="0.25">
      <c r="A15" s="4" t="s">
        <v>114</v>
      </c>
      <c r="B15" s="4"/>
      <c r="C15" s="53" t="s">
        <v>111</v>
      </c>
      <c r="D15" s="52" t="s">
        <v>112</v>
      </c>
      <c r="E15" s="68" t="s">
        <v>113</v>
      </c>
      <c r="F15" s="68"/>
    </row>
    <row r="16" spans="1:6" ht="18" customHeight="1" x14ac:dyDescent="0.25">
      <c r="A16" s="6" t="s">
        <v>115</v>
      </c>
      <c r="B16" s="6"/>
      <c r="C16" s="51" t="s">
        <v>116</v>
      </c>
      <c r="D16" s="52" t="s">
        <v>112</v>
      </c>
      <c r="E16" s="67" t="s">
        <v>113</v>
      </c>
      <c r="F16" s="67"/>
    </row>
    <row r="17" spans="1:6" ht="18" customHeight="1" x14ac:dyDescent="0.25">
      <c r="A17" s="4" t="s">
        <v>117</v>
      </c>
      <c r="B17" s="4"/>
      <c r="C17" s="53" t="s">
        <v>118</v>
      </c>
      <c r="D17" s="52" t="s">
        <v>112</v>
      </c>
      <c r="E17" s="68" t="s">
        <v>113</v>
      </c>
      <c r="F17" s="68"/>
    </row>
    <row r="18" spans="1:6" ht="18" customHeight="1" x14ac:dyDescent="0.25">
      <c r="A18" s="6" t="s">
        <v>119</v>
      </c>
      <c r="B18" s="6"/>
      <c r="C18" s="51" t="s">
        <v>111</v>
      </c>
      <c r="D18" s="52" t="s">
        <v>112</v>
      </c>
      <c r="E18" s="67" t="s">
        <v>113</v>
      </c>
      <c r="F18" s="67"/>
    </row>
    <row r="19" spans="1:6" ht="18" customHeight="1" x14ac:dyDescent="0.25">
      <c r="A19" s="4" t="s">
        <v>120</v>
      </c>
      <c r="B19" s="4"/>
      <c r="C19" s="53" t="s">
        <v>121</v>
      </c>
      <c r="D19" s="52" t="s">
        <v>112</v>
      </c>
      <c r="E19" s="68" t="s">
        <v>113</v>
      </c>
      <c r="F19" s="68"/>
    </row>
    <row r="20" spans="1:6" ht="18" customHeight="1" x14ac:dyDescent="0.25">
      <c r="A20" s="6" t="s">
        <v>122</v>
      </c>
      <c r="B20" s="6"/>
      <c r="C20" s="51" t="s">
        <v>123</v>
      </c>
      <c r="D20" s="52" t="s">
        <v>112</v>
      </c>
      <c r="E20" s="67" t="s">
        <v>124</v>
      </c>
      <c r="F20" s="67"/>
    </row>
    <row r="21" spans="1:6" ht="18" customHeight="1" x14ac:dyDescent="0.25">
      <c r="A21" s="4" t="s">
        <v>125</v>
      </c>
      <c r="B21" s="4"/>
      <c r="C21" s="53" t="s">
        <v>126</v>
      </c>
      <c r="D21" s="52" t="s">
        <v>112</v>
      </c>
      <c r="E21" s="68" t="s">
        <v>127</v>
      </c>
      <c r="F21" s="68"/>
    </row>
    <row r="22" spans="1:6" ht="18" customHeight="1" x14ac:dyDescent="0.25">
      <c r="A22" s="6" t="s">
        <v>128</v>
      </c>
      <c r="B22" s="6"/>
      <c r="C22" s="51" t="s">
        <v>129</v>
      </c>
      <c r="D22" s="52" t="s">
        <v>112</v>
      </c>
      <c r="E22" s="67" t="s">
        <v>130</v>
      </c>
      <c r="F22" s="67"/>
    </row>
    <row r="23" spans="1:6" ht="18" customHeight="1" x14ac:dyDescent="0.25">
      <c r="A23" s="4" t="s">
        <v>131</v>
      </c>
      <c r="B23" s="4"/>
      <c r="C23" s="53" t="s">
        <v>121</v>
      </c>
      <c r="D23" s="52" t="s">
        <v>112</v>
      </c>
      <c r="E23" s="68" t="s">
        <v>132</v>
      </c>
      <c r="F23" s="68"/>
    </row>
    <row r="24" spans="1:6" ht="18" customHeight="1" x14ac:dyDescent="0.25">
      <c r="A24" s="6" t="s">
        <v>133</v>
      </c>
      <c r="B24" s="6"/>
      <c r="C24" s="51" t="s">
        <v>134</v>
      </c>
      <c r="D24" s="52" t="s">
        <v>112</v>
      </c>
      <c r="E24" s="67" t="s">
        <v>135</v>
      </c>
      <c r="F24" s="67"/>
    </row>
    <row r="25" spans="1:6" ht="18" customHeight="1" x14ac:dyDescent="0.25">
      <c r="A25" s="4" t="s">
        <v>136</v>
      </c>
      <c r="B25" s="4"/>
      <c r="C25" s="53" t="s">
        <v>121</v>
      </c>
      <c r="D25" s="52" t="s">
        <v>112</v>
      </c>
      <c r="E25" s="68" t="s">
        <v>137</v>
      </c>
      <c r="F25" s="68"/>
    </row>
    <row r="26" spans="1:6" ht="18" customHeight="1" x14ac:dyDescent="0.25">
      <c r="A26" s="6" t="s">
        <v>138</v>
      </c>
      <c r="B26" s="6"/>
      <c r="C26" s="51" t="s">
        <v>121</v>
      </c>
      <c r="D26" s="52" t="s">
        <v>112</v>
      </c>
      <c r="E26" s="67" t="s">
        <v>139</v>
      </c>
      <c r="F26" s="67"/>
    </row>
    <row r="27" spans="1:6" ht="18" customHeight="1" x14ac:dyDescent="0.25">
      <c r="A27" s="4" t="s">
        <v>140</v>
      </c>
      <c r="B27" s="4"/>
      <c r="C27" s="53" t="s">
        <v>141</v>
      </c>
      <c r="D27" s="52" t="s">
        <v>112</v>
      </c>
      <c r="E27" s="68" t="s">
        <v>142</v>
      </c>
      <c r="F27" s="68"/>
    </row>
    <row r="28" spans="1:6" ht="18" customHeight="1" x14ac:dyDescent="0.25">
      <c r="A28" s="6" t="s">
        <v>143</v>
      </c>
      <c r="B28" s="6"/>
      <c r="C28" s="51" t="s">
        <v>144</v>
      </c>
      <c r="D28" s="52" t="s">
        <v>112</v>
      </c>
      <c r="E28" s="67" t="s">
        <v>145</v>
      </c>
      <c r="F28" s="67"/>
    </row>
    <row r="31" spans="1:6" ht="21.75" customHeight="1" x14ac:dyDescent="0.25">
      <c r="A31" s="57" t="s">
        <v>42</v>
      </c>
      <c r="B31" s="57"/>
      <c r="C31" s="57"/>
      <c r="D31" s="57"/>
      <c r="E31" s="57"/>
      <c r="F31" s="57"/>
    </row>
  </sheetData>
  <mergeCells count="41">
    <mergeCell ref="A31:F31"/>
    <mergeCell ref="A26:B26"/>
    <mergeCell ref="E26:F26"/>
    <mergeCell ref="A27:B27"/>
    <mergeCell ref="E27:F27"/>
    <mergeCell ref="A28:B28"/>
    <mergeCell ref="E28:F28"/>
    <mergeCell ref="A23:B23"/>
    <mergeCell ref="E23:F23"/>
    <mergeCell ref="A24:B24"/>
    <mergeCell ref="E24:F24"/>
    <mergeCell ref="A25:B25"/>
    <mergeCell ref="E25:F25"/>
    <mergeCell ref="A20:B20"/>
    <mergeCell ref="E20:F20"/>
    <mergeCell ref="A21:B21"/>
    <mergeCell ref="E21:F21"/>
    <mergeCell ref="A22:B22"/>
    <mergeCell ref="E22:F22"/>
    <mergeCell ref="A17:B17"/>
    <mergeCell ref="E17:F17"/>
    <mergeCell ref="A18:B18"/>
    <mergeCell ref="E18:F18"/>
    <mergeCell ref="A19:B19"/>
    <mergeCell ref="E19:F19"/>
    <mergeCell ref="A14:B14"/>
    <mergeCell ref="E14:F14"/>
    <mergeCell ref="A15:B15"/>
    <mergeCell ref="E15:F15"/>
    <mergeCell ref="A16:B16"/>
    <mergeCell ref="E16:F16"/>
    <mergeCell ref="A7:B7"/>
    <mergeCell ref="A8:B8"/>
    <mergeCell ref="A9:B9"/>
    <mergeCell ref="A10:B10"/>
    <mergeCell ref="A12:F12"/>
    <mergeCell ref="A1:F1"/>
    <mergeCell ref="A2:F2"/>
    <mergeCell ref="A4:F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97B"/>
  </sheetPr>
  <dimension ref="A1:G56"/>
  <sheetViews>
    <sheetView showGridLines="0" zoomScale="85" zoomScaleNormal="85" workbookViewId="0">
      <selection activeCell="B47" sqref="B47:G47"/>
    </sheetView>
  </sheetViews>
  <sheetFormatPr defaultColWidth="8.7109375" defaultRowHeight="15" x14ac:dyDescent="0.25"/>
  <cols>
    <col min="1" max="1" width="14.85546875" style="15" bestFit="1" customWidth="1"/>
    <col min="2" max="2" width="24" style="15" customWidth="1"/>
    <col min="3" max="6" width="18" style="15" customWidth="1"/>
    <col min="7" max="7" width="8" style="15" customWidth="1"/>
  </cols>
  <sheetData>
    <row r="1" spans="1:7" ht="37.5" customHeight="1" x14ac:dyDescent="0.25">
      <c r="A1" s="64" t="s">
        <v>146</v>
      </c>
      <c r="B1" s="64"/>
      <c r="C1" s="64"/>
      <c r="D1" s="64"/>
      <c r="E1" s="64"/>
      <c r="F1" s="64"/>
      <c r="G1" s="64"/>
    </row>
    <row r="2" spans="1:7" ht="18" customHeight="1" x14ac:dyDescent="0.25">
      <c r="A2" s="59" t="s">
        <v>147</v>
      </c>
      <c r="B2" s="59"/>
      <c r="C2" s="59"/>
      <c r="D2" s="59"/>
      <c r="E2" s="59"/>
      <c r="F2" s="59"/>
      <c r="G2" s="59"/>
    </row>
    <row r="3" spans="1:7" ht="9.75" customHeight="1" x14ac:dyDescent="0.25"/>
    <row r="4" spans="1:7" ht="19.5" customHeight="1" x14ac:dyDescent="0.25">
      <c r="A4" s="62" t="s">
        <v>148</v>
      </c>
      <c r="B4" s="62"/>
      <c r="C4" s="62"/>
      <c r="D4" s="62"/>
      <c r="E4" s="62"/>
      <c r="F4" s="62"/>
      <c r="G4" s="62"/>
    </row>
    <row r="5" spans="1:7" ht="24" customHeight="1" x14ac:dyDescent="0.25">
      <c r="A5" s="18" t="s">
        <v>149</v>
      </c>
      <c r="B5" s="81" t="s">
        <v>150</v>
      </c>
      <c r="C5" s="82"/>
      <c r="D5" s="82"/>
      <c r="E5" s="82"/>
      <c r="F5" s="82"/>
      <c r="G5" s="83"/>
    </row>
    <row r="6" spans="1:7" ht="18" customHeight="1" x14ac:dyDescent="0.25">
      <c r="A6" s="54" t="s">
        <v>151</v>
      </c>
      <c r="B6" s="69" t="s">
        <v>152</v>
      </c>
      <c r="C6" s="69"/>
      <c r="D6" s="69"/>
      <c r="E6" s="69"/>
      <c r="F6" s="69"/>
      <c r="G6" s="69"/>
    </row>
    <row r="7" spans="1:7" ht="18" customHeight="1" x14ac:dyDescent="0.25">
      <c r="A7" s="54" t="s">
        <v>153</v>
      </c>
      <c r="B7" s="69" t="s">
        <v>154</v>
      </c>
      <c r="C7" s="69"/>
      <c r="D7" s="69"/>
      <c r="E7" s="69"/>
      <c r="F7" s="69"/>
      <c r="G7" s="69"/>
    </row>
    <row r="8" spans="1:7" ht="18" customHeight="1" x14ac:dyDescent="0.25">
      <c r="A8" s="54" t="s">
        <v>19</v>
      </c>
      <c r="B8" s="69" t="s">
        <v>155</v>
      </c>
      <c r="C8" s="69"/>
      <c r="D8" s="69"/>
      <c r="E8" s="69"/>
      <c r="F8" s="69"/>
      <c r="G8" s="69"/>
    </row>
    <row r="9" spans="1:7" ht="18" customHeight="1" x14ac:dyDescent="0.25">
      <c r="A9" s="54" t="s">
        <v>25</v>
      </c>
      <c r="B9" s="69" t="s">
        <v>156</v>
      </c>
      <c r="C9" s="69"/>
      <c r="D9" s="69"/>
      <c r="E9" s="69"/>
      <c r="F9" s="69"/>
      <c r="G9" s="69"/>
    </row>
    <row r="10" spans="1:7" ht="18" customHeight="1" x14ac:dyDescent="0.25">
      <c r="A10" s="54" t="s">
        <v>27</v>
      </c>
      <c r="B10" s="69" t="s">
        <v>157</v>
      </c>
      <c r="C10" s="69"/>
      <c r="D10" s="69"/>
      <c r="E10" s="69"/>
      <c r="F10" s="69"/>
      <c r="G10" s="69"/>
    </row>
    <row r="11" spans="1:7" ht="18" customHeight="1" x14ac:dyDescent="0.25">
      <c r="A11" s="54" t="s">
        <v>158</v>
      </c>
      <c r="B11" s="69" t="s">
        <v>159</v>
      </c>
      <c r="C11" s="69"/>
      <c r="D11" s="69"/>
      <c r="E11" s="69"/>
      <c r="F11" s="69"/>
      <c r="G11" s="69"/>
    </row>
    <row r="12" spans="1:7" ht="18" customHeight="1" x14ac:dyDescent="0.25">
      <c r="A12" s="54" t="s">
        <v>160</v>
      </c>
      <c r="B12" s="69" t="s">
        <v>161</v>
      </c>
      <c r="C12" s="69"/>
      <c r="D12" s="69"/>
      <c r="E12" s="69"/>
      <c r="F12" s="69"/>
      <c r="G12" s="69"/>
    </row>
    <row r="13" spans="1:7" ht="18" customHeight="1" x14ac:dyDescent="0.25">
      <c r="A13" s="54" t="s">
        <v>162</v>
      </c>
      <c r="B13" s="69" t="s">
        <v>163</v>
      </c>
      <c r="C13" s="69"/>
      <c r="D13" s="69"/>
      <c r="E13" s="69"/>
      <c r="F13" s="69"/>
      <c r="G13" s="69"/>
    </row>
    <row r="14" spans="1:7" ht="7.5" customHeight="1" x14ac:dyDescent="0.25"/>
    <row r="15" spans="1:7" ht="19.5" customHeight="1" x14ac:dyDescent="0.25">
      <c r="A15" s="62" t="s">
        <v>164</v>
      </c>
      <c r="B15" s="62"/>
      <c r="C15" s="62"/>
      <c r="D15" s="62"/>
      <c r="E15" s="62"/>
      <c r="F15" s="62"/>
      <c r="G15" s="62"/>
    </row>
    <row r="16" spans="1:7" ht="24" customHeight="1" x14ac:dyDescent="0.25">
      <c r="A16" s="18" t="s">
        <v>149</v>
      </c>
      <c r="B16" s="81" t="s">
        <v>150</v>
      </c>
      <c r="C16" s="84"/>
      <c r="D16" s="84"/>
      <c r="E16" s="84"/>
      <c r="F16" s="84"/>
      <c r="G16" s="85"/>
    </row>
    <row r="17" spans="1:7" ht="18" customHeight="1" x14ac:dyDescent="0.25">
      <c r="A17" s="54" t="s">
        <v>165</v>
      </c>
      <c r="B17" s="70" t="s">
        <v>166</v>
      </c>
      <c r="C17" s="70"/>
      <c r="D17" s="70"/>
      <c r="E17" s="70"/>
      <c r="F17" s="70"/>
      <c r="G17" s="70"/>
    </row>
    <row r="18" spans="1:7" ht="18" customHeight="1" x14ac:dyDescent="0.25">
      <c r="A18" s="54" t="s">
        <v>19</v>
      </c>
      <c r="B18" s="70" t="s">
        <v>167</v>
      </c>
      <c r="C18" s="70"/>
      <c r="D18" s="70"/>
      <c r="E18" s="70"/>
      <c r="F18" s="70"/>
      <c r="G18" s="70"/>
    </row>
    <row r="19" spans="1:7" ht="18" customHeight="1" x14ac:dyDescent="0.25">
      <c r="A19" s="54" t="s">
        <v>25</v>
      </c>
      <c r="B19" s="70" t="s">
        <v>168</v>
      </c>
      <c r="C19" s="70"/>
      <c r="D19" s="70"/>
      <c r="E19" s="70"/>
      <c r="F19" s="70"/>
      <c r="G19" s="70"/>
    </row>
    <row r="20" spans="1:7" ht="18" customHeight="1" x14ac:dyDescent="0.25">
      <c r="A20" s="54" t="s">
        <v>158</v>
      </c>
      <c r="B20" s="70" t="s">
        <v>169</v>
      </c>
      <c r="C20" s="70"/>
      <c r="D20" s="70"/>
      <c r="E20" s="70"/>
      <c r="F20" s="70"/>
      <c r="G20" s="70"/>
    </row>
    <row r="21" spans="1:7" ht="18" customHeight="1" x14ac:dyDescent="0.25">
      <c r="A21" s="54" t="s">
        <v>160</v>
      </c>
      <c r="B21" s="70" t="s">
        <v>170</v>
      </c>
      <c r="C21" s="70"/>
      <c r="D21" s="70"/>
      <c r="E21" s="70"/>
      <c r="F21" s="70"/>
      <c r="G21" s="70"/>
    </row>
    <row r="22" spans="1:7" ht="18" customHeight="1" x14ac:dyDescent="0.25">
      <c r="A22" s="54" t="s">
        <v>171</v>
      </c>
      <c r="B22" s="70" t="s">
        <v>172</v>
      </c>
      <c r="C22" s="70"/>
      <c r="D22" s="70"/>
      <c r="E22" s="70"/>
      <c r="F22" s="70"/>
      <c r="G22" s="70"/>
    </row>
    <row r="23" spans="1:7" ht="18" customHeight="1" x14ac:dyDescent="0.25">
      <c r="A23" s="54" t="s">
        <v>162</v>
      </c>
      <c r="B23" s="70" t="s">
        <v>173</v>
      </c>
      <c r="C23" s="70"/>
      <c r="D23" s="70"/>
      <c r="E23" s="70"/>
      <c r="F23" s="70"/>
      <c r="G23" s="70"/>
    </row>
    <row r="24" spans="1:7" ht="7.5" customHeight="1" x14ac:dyDescent="0.25"/>
    <row r="25" spans="1:7" ht="19.5" customHeight="1" x14ac:dyDescent="0.25">
      <c r="A25" s="71" t="s">
        <v>174</v>
      </c>
      <c r="B25" s="71"/>
      <c r="C25" s="71"/>
      <c r="D25" s="71"/>
      <c r="E25" s="71"/>
      <c r="F25" s="71"/>
      <c r="G25" s="71"/>
    </row>
    <row r="26" spans="1:7" ht="24" customHeight="1" x14ac:dyDescent="0.25">
      <c r="A26" s="18" t="s">
        <v>149</v>
      </c>
      <c r="B26" s="81" t="s">
        <v>150</v>
      </c>
      <c r="C26" s="84"/>
      <c r="D26" s="84"/>
      <c r="E26" s="84"/>
      <c r="F26" s="84"/>
      <c r="G26" s="85"/>
    </row>
    <row r="27" spans="1:7" ht="18" customHeight="1" x14ac:dyDescent="0.25">
      <c r="A27" s="54" t="s">
        <v>19</v>
      </c>
      <c r="B27" s="72" t="s">
        <v>175</v>
      </c>
      <c r="C27" s="72"/>
      <c r="D27" s="72"/>
      <c r="E27" s="72"/>
      <c r="F27" s="72"/>
      <c r="G27" s="72"/>
    </row>
    <row r="28" spans="1:7" ht="18" customHeight="1" x14ac:dyDescent="0.25">
      <c r="A28" s="54" t="s">
        <v>25</v>
      </c>
      <c r="B28" s="72" t="s">
        <v>176</v>
      </c>
      <c r="C28" s="72"/>
      <c r="D28" s="72"/>
      <c r="E28" s="72"/>
      <c r="F28" s="72"/>
      <c r="G28" s="72"/>
    </row>
    <row r="29" spans="1:7" ht="18" customHeight="1" x14ac:dyDescent="0.25">
      <c r="A29" s="54" t="s">
        <v>177</v>
      </c>
      <c r="B29" s="72" t="s">
        <v>178</v>
      </c>
      <c r="C29" s="72"/>
      <c r="D29" s="72"/>
      <c r="E29" s="72"/>
      <c r="F29" s="72"/>
      <c r="G29" s="72"/>
    </row>
    <row r="30" spans="1:7" ht="18" customHeight="1" x14ac:dyDescent="0.25">
      <c r="A30" s="54" t="s">
        <v>179</v>
      </c>
      <c r="B30" s="72" t="s">
        <v>180</v>
      </c>
      <c r="C30" s="72"/>
      <c r="D30" s="72"/>
      <c r="E30" s="72"/>
      <c r="F30" s="72"/>
      <c r="G30" s="72"/>
    </row>
    <row r="31" spans="1:7" ht="18" customHeight="1" x14ac:dyDescent="0.25">
      <c r="A31" s="54" t="s">
        <v>181</v>
      </c>
      <c r="B31" s="72" t="s">
        <v>182</v>
      </c>
      <c r="C31" s="72"/>
      <c r="D31" s="72"/>
      <c r="E31" s="72"/>
      <c r="F31" s="72"/>
      <c r="G31" s="72"/>
    </row>
    <row r="32" spans="1:7" ht="18" customHeight="1" x14ac:dyDescent="0.25">
      <c r="A32" s="54" t="s">
        <v>183</v>
      </c>
      <c r="B32" s="72" t="s">
        <v>184</v>
      </c>
      <c r="C32" s="72"/>
      <c r="D32" s="72"/>
      <c r="E32" s="72"/>
      <c r="F32" s="72"/>
      <c r="G32" s="72"/>
    </row>
    <row r="33" spans="1:7" ht="18" customHeight="1" x14ac:dyDescent="0.25">
      <c r="A33" s="54" t="s">
        <v>185</v>
      </c>
      <c r="B33" s="72" t="s">
        <v>186</v>
      </c>
      <c r="C33" s="72"/>
      <c r="D33" s="72"/>
      <c r="E33" s="72"/>
      <c r="F33" s="72"/>
      <c r="G33" s="72"/>
    </row>
    <row r="34" spans="1:7" ht="18" customHeight="1" x14ac:dyDescent="0.25">
      <c r="A34" s="54" t="s">
        <v>162</v>
      </c>
      <c r="B34" s="72" t="s">
        <v>187</v>
      </c>
      <c r="C34" s="72"/>
      <c r="D34" s="72"/>
      <c r="E34" s="72"/>
      <c r="F34" s="72"/>
      <c r="G34" s="72"/>
    </row>
    <row r="35" spans="1:7" ht="7.5" customHeight="1" x14ac:dyDescent="0.25"/>
    <row r="36" spans="1:7" ht="19.5" customHeight="1" x14ac:dyDescent="0.25">
      <c r="A36" s="73" t="s">
        <v>188</v>
      </c>
      <c r="B36" s="73"/>
      <c r="C36" s="73"/>
      <c r="D36" s="73"/>
      <c r="E36" s="73"/>
      <c r="F36" s="73"/>
      <c r="G36" s="73"/>
    </row>
    <row r="37" spans="1:7" ht="24" customHeight="1" x14ac:dyDescent="0.25">
      <c r="A37" s="18" t="s">
        <v>149</v>
      </c>
      <c r="B37" s="81" t="s">
        <v>150</v>
      </c>
      <c r="C37" s="84"/>
      <c r="D37" s="84"/>
      <c r="E37" s="84"/>
      <c r="F37" s="84"/>
      <c r="G37" s="85"/>
    </row>
    <row r="38" spans="1:7" ht="18" customHeight="1" x14ac:dyDescent="0.25">
      <c r="A38" s="54" t="s">
        <v>189</v>
      </c>
      <c r="B38" s="69" t="s">
        <v>190</v>
      </c>
      <c r="C38" s="69"/>
      <c r="D38" s="69"/>
      <c r="E38" s="69"/>
      <c r="F38" s="69"/>
      <c r="G38" s="69"/>
    </row>
    <row r="39" spans="1:7" ht="18" customHeight="1" x14ac:dyDescent="0.25">
      <c r="A39" s="54" t="s">
        <v>191</v>
      </c>
      <c r="B39" s="69" t="s">
        <v>192</v>
      </c>
      <c r="C39" s="69"/>
      <c r="D39" s="69"/>
      <c r="E39" s="69"/>
      <c r="F39" s="69"/>
      <c r="G39" s="69"/>
    </row>
    <row r="40" spans="1:7" ht="18" customHeight="1" x14ac:dyDescent="0.25">
      <c r="A40" s="54" t="s">
        <v>193</v>
      </c>
      <c r="B40" s="69" t="s">
        <v>194</v>
      </c>
      <c r="C40" s="69"/>
      <c r="D40" s="69"/>
      <c r="E40" s="69"/>
      <c r="F40" s="69"/>
      <c r="G40" s="69"/>
    </row>
    <row r="41" spans="1:7" ht="18" customHeight="1" x14ac:dyDescent="0.25">
      <c r="A41" s="54" t="s">
        <v>195</v>
      </c>
      <c r="B41" s="69" t="s">
        <v>196</v>
      </c>
      <c r="C41" s="69"/>
      <c r="D41" s="69"/>
      <c r="E41" s="69"/>
      <c r="F41" s="69"/>
      <c r="G41" s="69"/>
    </row>
    <row r="42" spans="1:7" ht="18" customHeight="1" x14ac:dyDescent="0.25">
      <c r="A42" s="54" t="s">
        <v>197</v>
      </c>
      <c r="B42" s="69" t="s">
        <v>198</v>
      </c>
      <c r="C42" s="69"/>
      <c r="D42" s="69"/>
      <c r="E42" s="69"/>
      <c r="F42" s="69"/>
      <c r="G42" s="69"/>
    </row>
    <row r="43" spans="1:7" ht="18" customHeight="1" x14ac:dyDescent="0.25">
      <c r="A43" s="54" t="s">
        <v>171</v>
      </c>
      <c r="B43" s="69" t="s">
        <v>172</v>
      </c>
      <c r="C43" s="69"/>
      <c r="D43" s="69"/>
      <c r="E43" s="69"/>
      <c r="F43" s="69"/>
      <c r="G43" s="69"/>
    </row>
    <row r="44" spans="1:7" ht="18" customHeight="1" x14ac:dyDescent="0.25">
      <c r="A44" s="54" t="s">
        <v>162</v>
      </c>
      <c r="B44" s="69" t="s">
        <v>199</v>
      </c>
      <c r="C44" s="69"/>
      <c r="D44" s="69"/>
      <c r="E44" s="69"/>
      <c r="F44" s="69"/>
      <c r="G44" s="69"/>
    </row>
    <row r="45" spans="1:7" ht="7.5" customHeight="1" x14ac:dyDescent="0.25"/>
    <row r="46" spans="1:7" ht="19.5" customHeight="1" x14ac:dyDescent="0.25">
      <c r="A46" s="74" t="s">
        <v>200</v>
      </c>
      <c r="B46" s="74"/>
      <c r="C46" s="74"/>
      <c r="D46" s="74"/>
      <c r="E46" s="74"/>
      <c r="F46" s="74"/>
      <c r="G46" s="74"/>
    </row>
    <row r="47" spans="1:7" ht="24" customHeight="1" x14ac:dyDescent="0.25">
      <c r="A47" s="18" t="s">
        <v>149</v>
      </c>
      <c r="B47" s="81" t="s">
        <v>150</v>
      </c>
      <c r="C47" s="84"/>
      <c r="D47" s="84"/>
      <c r="E47" s="84"/>
      <c r="F47" s="84"/>
      <c r="G47" s="85"/>
    </row>
    <row r="48" spans="1:7" ht="18" customHeight="1" x14ac:dyDescent="0.25">
      <c r="A48" s="54" t="s">
        <v>201</v>
      </c>
      <c r="B48" s="70" t="s">
        <v>202</v>
      </c>
      <c r="C48" s="70"/>
      <c r="D48" s="70"/>
      <c r="E48" s="70"/>
      <c r="F48" s="70"/>
      <c r="G48" s="70"/>
    </row>
    <row r="49" spans="1:7" ht="18" customHeight="1" x14ac:dyDescent="0.25">
      <c r="A49" s="54" t="s">
        <v>203</v>
      </c>
      <c r="B49" s="70" t="s">
        <v>204</v>
      </c>
      <c r="C49" s="70"/>
      <c r="D49" s="70"/>
      <c r="E49" s="70"/>
      <c r="F49" s="70"/>
      <c r="G49" s="70"/>
    </row>
    <row r="50" spans="1:7" ht="18" customHeight="1" x14ac:dyDescent="0.25">
      <c r="A50" s="54" t="s">
        <v>19</v>
      </c>
      <c r="B50" s="70" t="s">
        <v>205</v>
      </c>
      <c r="C50" s="70"/>
      <c r="D50" s="70"/>
      <c r="E50" s="70"/>
      <c r="F50" s="70"/>
      <c r="G50" s="70"/>
    </row>
    <row r="51" spans="1:7" ht="18" customHeight="1" x14ac:dyDescent="0.25">
      <c r="A51" s="54" t="s">
        <v>25</v>
      </c>
      <c r="B51" s="70" t="s">
        <v>206</v>
      </c>
      <c r="C51" s="70"/>
      <c r="D51" s="70"/>
      <c r="E51" s="70"/>
      <c r="F51" s="70"/>
      <c r="G51" s="70"/>
    </row>
    <row r="52" spans="1:7" ht="18" customHeight="1" x14ac:dyDescent="0.25">
      <c r="A52" s="54" t="s">
        <v>207</v>
      </c>
      <c r="B52" s="70" t="s">
        <v>208</v>
      </c>
      <c r="C52" s="70"/>
      <c r="D52" s="70"/>
      <c r="E52" s="70"/>
      <c r="F52" s="70"/>
      <c r="G52" s="70"/>
    </row>
    <row r="53" spans="1:7" ht="18" customHeight="1" x14ac:dyDescent="0.25">
      <c r="A53" s="54" t="s">
        <v>209</v>
      </c>
      <c r="B53" s="70" t="s">
        <v>210</v>
      </c>
      <c r="C53" s="70"/>
      <c r="D53" s="70"/>
      <c r="E53" s="70"/>
      <c r="F53" s="70"/>
      <c r="G53" s="70"/>
    </row>
    <row r="54" spans="1:7" ht="18" customHeight="1" x14ac:dyDescent="0.25">
      <c r="A54" s="54" t="s">
        <v>162</v>
      </c>
      <c r="B54" s="70" t="s">
        <v>211</v>
      </c>
      <c r="C54" s="70"/>
      <c r="D54" s="70"/>
      <c r="E54" s="70"/>
      <c r="F54" s="70"/>
      <c r="G54" s="70"/>
    </row>
    <row r="55" spans="1:7" ht="7.5" customHeight="1" x14ac:dyDescent="0.25"/>
    <row r="56" spans="1:7" ht="21.75" customHeight="1" x14ac:dyDescent="0.25">
      <c r="A56" s="57" t="s">
        <v>42</v>
      </c>
      <c r="B56" s="57"/>
      <c r="C56" s="57"/>
      <c r="D56" s="57"/>
      <c r="E56" s="57"/>
      <c r="F56" s="57"/>
      <c r="G56" s="57"/>
    </row>
  </sheetData>
  <mergeCells count="50">
    <mergeCell ref="B26:G26"/>
    <mergeCell ref="B37:G37"/>
    <mergeCell ref="B47:G47"/>
    <mergeCell ref="B51:G51"/>
    <mergeCell ref="B52:G52"/>
    <mergeCell ref="B53:G53"/>
    <mergeCell ref="B54:G54"/>
    <mergeCell ref="A56:G56"/>
    <mergeCell ref="B44:G44"/>
    <mergeCell ref="A46:G46"/>
    <mergeCell ref="B48:G48"/>
    <mergeCell ref="B49:G49"/>
    <mergeCell ref="B50:G50"/>
    <mergeCell ref="B39:G39"/>
    <mergeCell ref="B40:G40"/>
    <mergeCell ref="B41:G41"/>
    <mergeCell ref="B42:G42"/>
    <mergeCell ref="B43:G43"/>
    <mergeCell ref="B32:G32"/>
    <mergeCell ref="B33:G33"/>
    <mergeCell ref="B34:G34"/>
    <mergeCell ref="A36:G36"/>
    <mergeCell ref="B38:G38"/>
    <mergeCell ref="B27:G27"/>
    <mergeCell ref="B28:G28"/>
    <mergeCell ref="B29:G29"/>
    <mergeCell ref="B30:G30"/>
    <mergeCell ref="B31:G31"/>
    <mergeCell ref="B20:G20"/>
    <mergeCell ref="B21:G21"/>
    <mergeCell ref="B22:G22"/>
    <mergeCell ref="B23:G23"/>
    <mergeCell ref="A25:G25"/>
    <mergeCell ref="B13:G13"/>
    <mergeCell ref="A15:G15"/>
    <mergeCell ref="B17:G17"/>
    <mergeCell ref="B18:G18"/>
    <mergeCell ref="B19:G19"/>
    <mergeCell ref="B16:G16"/>
    <mergeCell ref="B8:G8"/>
    <mergeCell ref="B9:G9"/>
    <mergeCell ref="B10:G10"/>
    <mergeCell ref="B11:G11"/>
    <mergeCell ref="B12:G12"/>
    <mergeCell ref="A1:G1"/>
    <mergeCell ref="A2:G2"/>
    <mergeCell ref="A4:G4"/>
    <mergeCell ref="B6:G6"/>
    <mergeCell ref="B7:G7"/>
    <mergeCell ref="B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55A64"/>
  </sheetPr>
  <dimension ref="A1:D81"/>
  <sheetViews>
    <sheetView showGridLines="0" zoomScale="85" zoomScaleNormal="85" workbookViewId="0">
      <selection sqref="A1:D1"/>
    </sheetView>
  </sheetViews>
  <sheetFormatPr defaultColWidth="8.7109375" defaultRowHeight="15" x14ac:dyDescent="0.25"/>
  <cols>
    <col min="1" max="1" width="5" style="15" customWidth="1"/>
    <col min="2" max="2" width="17.5703125" style="15" bestFit="1" customWidth="1"/>
    <col min="3" max="3" width="80.28515625" style="15" customWidth="1"/>
    <col min="4" max="4" width="8" style="15" customWidth="1"/>
  </cols>
  <sheetData>
    <row r="1" spans="1:4" ht="48" customHeight="1" x14ac:dyDescent="0.25">
      <c r="A1" s="58" t="s">
        <v>212</v>
      </c>
      <c r="B1" s="58"/>
      <c r="C1" s="58"/>
      <c r="D1" s="58"/>
    </row>
    <row r="2" spans="1:4" ht="18" customHeight="1" x14ac:dyDescent="0.25">
      <c r="A2" s="59" t="s">
        <v>213</v>
      </c>
      <c r="B2" s="59"/>
      <c r="C2" s="59"/>
      <c r="D2" s="59"/>
    </row>
    <row r="3" spans="1:4" ht="9.75" customHeight="1" x14ac:dyDescent="0.25"/>
    <row r="4" spans="1:4" ht="25.5" customHeight="1" x14ac:dyDescent="0.25">
      <c r="A4" s="75" t="s">
        <v>214</v>
      </c>
      <c r="B4" s="75"/>
      <c r="C4" s="76" t="s">
        <v>215</v>
      </c>
      <c r="D4" s="76"/>
    </row>
    <row r="5" spans="1:4" ht="18" customHeight="1" x14ac:dyDescent="0.25">
      <c r="B5" s="54" t="s">
        <v>216</v>
      </c>
      <c r="C5" s="77" t="s">
        <v>217</v>
      </c>
      <c r="D5" s="77"/>
    </row>
    <row r="6" spans="1:4" ht="18" customHeight="1" x14ac:dyDescent="0.25">
      <c r="B6" s="54" t="s">
        <v>218</v>
      </c>
      <c r="C6" s="77" t="s">
        <v>219</v>
      </c>
      <c r="D6" s="77"/>
    </row>
    <row r="7" spans="1:4" ht="18" customHeight="1" x14ac:dyDescent="0.25">
      <c r="B7" s="54" t="s">
        <v>220</v>
      </c>
      <c r="C7" s="77" t="s">
        <v>221</v>
      </c>
      <c r="D7" s="77"/>
    </row>
    <row r="8" spans="1:4" ht="18" customHeight="1" x14ac:dyDescent="0.25">
      <c r="B8" s="54" t="s">
        <v>222</v>
      </c>
      <c r="C8" s="77" t="s">
        <v>223</v>
      </c>
      <c r="D8" s="77"/>
    </row>
    <row r="9" spans="1:4" ht="18" customHeight="1" x14ac:dyDescent="0.25">
      <c r="B9" s="54" t="s">
        <v>224</v>
      </c>
      <c r="C9" s="77" t="s">
        <v>225</v>
      </c>
      <c r="D9" s="77"/>
    </row>
    <row r="10" spans="1:4" ht="18" customHeight="1" x14ac:dyDescent="0.25">
      <c r="B10" s="54" t="s">
        <v>226</v>
      </c>
      <c r="C10" s="77" t="s">
        <v>227</v>
      </c>
      <c r="D10" s="77"/>
    </row>
    <row r="11" spans="1:4" ht="7.5" customHeight="1" x14ac:dyDescent="0.25"/>
    <row r="12" spans="1:4" ht="25.5" customHeight="1" x14ac:dyDescent="0.25">
      <c r="A12" s="75" t="s">
        <v>228</v>
      </c>
      <c r="B12" s="75"/>
      <c r="C12" s="76" t="s">
        <v>229</v>
      </c>
      <c r="D12" s="76"/>
    </row>
    <row r="13" spans="1:4" ht="18" customHeight="1" x14ac:dyDescent="0.25">
      <c r="B13" s="54" t="s">
        <v>230</v>
      </c>
      <c r="C13" s="77" t="s">
        <v>231</v>
      </c>
      <c r="D13" s="77"/>
    </row>
    <row r="14" spans="1:4" ht="18" customHeight="1" x14ac:dyDescent="0.25">
      <c r="B14" s="54" t="s">
        <v>82</v>
      </c>
      <c r="C14" s="77" t="s">
        <v>232</v>
      </c>
      <c r="D14" s="77"/>
    </row>
    <row r="15" spans="1:4" ht="18" customHeight="1" x14ac:dyDescent="0.25">
      <c r="B15" s="54" t="s">
        <v>233</v>
      </c>
      <c r="C15" s="77" t="s">
        <v>234</v>
      </c>
      <c r="D15" s="77"/>
    </row>
    <row r="16" spans="1:4" ht="18" customHeight="1" x14ac:dyDescent="0.25">
      <c r="B16" s="54" t="s">
        <v>235</v>
      </c>
      <c r="C16" s="77" t="s">
        <v>236</v>
      </c>
      <c r="D16" s="77"/>
    </row>
    <row r="17" spans="1:4" ht="18" customHeight="1" x14ac:dyDescent="0.25">
      <c r="B17" s="54" t="s">
        <v>237</v>
      </c>
      <c r="C17" s="77" t="s">
        <v>238</v>
      </c>
      <c r="D17" s="77"/>
    </row>
    <row r="18" spans="1:4" ht="18" customHeight="1" x14ac:dyDescent="0.25">
      <c r="B18" s="54" t="s">
        <v>239</v>
      </c>
      <c r="C18" s="77" t="s">
        <v>240</v>
      </c>
      <c r="D18" s="77"/>
    </row>
    <row r="19" spans="1:4" ht="18" customHeight="1" x14ac:dyDescent="0.25">
      <c r="B19" s="54" t="s">
        <v>241</v>
      </c>
      <c r="C19" s="77" t="s">
        <v>242</v>
      </c>
      <c r="D19" s="77"/>
    </row>
    <row r="20" spans="1:4" ht="18" customHeight="1" x14ac:dyDescent="0.25">
      <c r="B20" s="54" t="s">
        <v>243</v>
      </c>
      <c r="C20" s="77" t="s">
        <v>244</v>
      </c>
      <c r="D20" s="77"/>
    </row>
    <row r="21" spans="1:4" ht="18" customHeight="1" x14ac:dyDescent="0.25">
      <c r="B21" s="54" t="s">
        <v>88</v>
      </c>
      <c r="C21" s="77" t="s">
        <v>245</v>
      </c>
      <c r="D21" s="77"/>
    </row>
    <row r="22" spans="1:4" ht="18" customHeight="1" x14ac:dyDescent="0.25">
      <c r="B22" s="54" t="s">
        <v>246</v>
      </c>
      <c r="C22" s="77" t="s">
        <v>247</v>
      </c>
      <c r="D22" s="77"/>
    </row>
    <row r="23" spans="1:4" ht="7.5" customHeight="1" x14ac:dyDescent="0.25"/>
    <row r="24" spans="1:4" ht="25.5" customHeight="1" x14ac:dyDescent="0.25">
      <c r="A24" s="75" t="s">
        <v>248</v>
      </c>
      <c r="B24" s="75"/>
      <c r="C24" s="76" t="s">
        <v>249</v>
      </c>
      <c r="D24" s="76"/>
    </row>
    <row r="25" spans="1:4" ht="18" customHeight="1" x14ac:dyDescent="0.25">
      <c r="B25" s="54" t="s">
        <v>230</v>
      </c>
      <c r="C25" s="77" t="s">
        <v>250</v>
      </c>
      <c r="D25" s="77"/>
    </row>
    <row r="26" spans="1:4" ht="18" customHeight="1" x14ac:dyDescent="0.25">
      <c r="B26" s="54" t="s">
        <v>251</v>
      </c>
      <c r="C26" s="77" t="s">
        <v>252</v>
      </c>
      <c r="D26" s="77"/>
    </row>
    <row r="27" spans="1:4" ht="18" customHeight="1" x14ac:dyDescent="0.25">
      <c r="B27" s="54" t="s">
        <v>253</v>
      </c>
      <c r="C27" s="77" t="s">
        <v>254</v>
      </c>
      <c r="D27" s="77"/>
    </row>
    <row r="28" spans="1:4" ht="18" customHeight="1" x14ac:dyDescent="0.25">
      <c r="B28" s="54" t="s">
        <v>235</v>
      </c>
      <c r="C28" s="77" t="s">
        <v>255</v>
      </c>
      <c r="D28" s="77"/>
    </row>
    <row r="29" spans="1:4" ht="18" customHeight="1" x14ac:dyDescent="0.25">
      <c r="B29" s="54" t="s">
        <v>237</v>
      </c>
      <c r="C29" s="77" t="s">
        <v>256</v>
      </c>
      <c r="D29" s="77"/>
    </row>
    <row r="30" spans="1:4" ht="18" customHeight="1" x14ac:dyDescent="0.25">
      <c r="B30" s="54" t="s">
        <v>239</v>
      </c>
      <c r="C30" s="77" t="s">
        <v>257</v>
      </c>
      <c r="D30" s="77"/>
    </row>
    <row r="31" spans="1:4" ht="18" customHeight="1" x14ac:dyDescent="0.25">
      <c r="B31" s="54" t="s">
        <v>258</v>
      </c>
      <c r="C31" s="77" t="s">
        <v>259</v>
      </c>
      <c r="D31" s="77"/>
    </row>
    <row r="32" spans="1:4" ht="18" customHeight="1" x14ac:dyDescent="0.25">
      <c r="B32" s="54" t="s">
        <v>260</v>
      </c>
      <c r="C32" s="78" t="s">
        <v>261</v>
      </c>
      <c r="D32" s="78"/>
    </row>
    <row r="33" spans="1:4" ht="18" customHeight="1" x14ac:dyDescent="0.25">
      <c r="B33" s="54" t="s">
        <v>262</v>
      </c>
      <c r="C33" s="78" t="s">
        <v>263</v>
      </c>
      <c r="D33" s="78"/>
    </row>
    <row r="34" spans="1:4" ht="18" customHeight="1" x14ac:dyDescent="0.25">
      <c r="B34" s="54" t="s">
        <v>264</v>
      </c>
      <c r="C34" s="78" t="s">
        <v>265</v>
      </c>
      <c r="D34" s="78"/>
    </row>
    <row r="35" spans="1:4" ht="18" customHeight="1" x14ac:dyDescent="0.25">
      <c r="B35" s="54" t="s">
        <v>241</v>
      </c>
      <c r="C35" s="77" t="s">
        <v>266</v>
      </c>
      <c r="D35" s="77"/>
    </row>
    <row r="36" spans="1:4" ht="7.5" customHeight="1" x14ac:dyDescent="0.25"/>
    <row r="37" spans="1:4" ht="25.5" customHeight="1" x14ac:dyDescent="0.25">
      <c r="A37" s="75" t="s">
        <v>267</v>
      </c>
      <c r="B37" s="75"/>
      <c r="C37" s="76" t="s">
        <v>268</v>
      </c>
      <c r="D37" s="76"/>
    </row>
    <row r="38" spans="1:4" ht="18" customHeight="1" x14ac:dyDescent="0.25">
      <c r="B38" s="54" t="s">
        <v>230</v>
      </c>
      <c r="C38" s="77" t="s">
        <v>269</v>
      </c>
      <c r="D38" s="77"/>
    </row>
    <row r="39" spans="1:4" ht="18" customHeight="1" x14ac:dyDescent="0.25">
      <c r="B39" s="54" t="s">
        <v>270</v>
      </c>
      <c r="C39" s="77" t="s">
        <v>271</v>
      </c>
      <c r="D39" s="77"/>
    </row>
    <row r="40" spans="1:4" ht="18" customHeight="1" x14ac:dyDescent="0.25">
      <c r="B40" s="54" t="s">
        <v>272</v>
      </c>
      <c r="C40" s="77" t="s">
        <v>273</v>
      </c>
      <c r="D40" s="77"/>
    </row>
    <row r="41" spans="1:4" ht="18" customHeight="1" x14ac:dyDescent="0.25">
      <c r="B41" s="54" t="s">
        <v>27</v>
      </c>
      <c r="C41" s="77" t="s">
        <v>274</v>
      </c>
      <c r="D41" s="77"/>
    </row>
    <row r="42" spans="1:4" ht="18" customHeight="1" x14ac:dyDescent="0.25">
      <c r="B42" s="54" t="s">
        <v>275</v>
      </c>
      <c r="C42" s="77" t="s">
        <v>276</v>
      </c>
      <c r="D42" s="77"/>
    </row>
    <row r="43" spans="1:4" ht="18" customHeight="1" x14ac:dyDescent="0.25">
      <c r="B43" s="54" t="s">
        <v>277</v>
      </c>
      <c r="C43" s="77" t="s">
        <v>278</v>
      </c>
      <c r="D43" s="77"/>
    </row>
    <row r="44" spans="1:4" ht="7.5" customHeight="1" x14ac:dyDescent="0.25"/>
    <row r="45" spans="1:4" ht="25.5" customHeight="1" x14ac:dyDescent="0.25">
      <c r="A45" s="75" t="s">
        <v>279</v>
      </c>
      <c r="B45" s="75"/>
      <c r="C45" s="76" t="s">
        <v>280</v>
      </c>
      <c r="D45" s="76"/>
    </row>
    <row r="46" spans="1:4" ht="18" customHeight="1" x14ac:dyDescent="0.25">
      <c r="B46" s="54" t="s">
        <v>230</v>
      </c>
      <c r="C46" s="77" t="s">
        <v>281</v>
      </c>
      <c r="D46" s="77"/>
    </row>
    <row r="47" spans="1:4" ht="18" customHeight="1" x14ac:dyDescent="0.25">
      <c r="B47" s="54" t="s">
        <v>282</v>
      </c>
      <c r="C47" s="77" t="s">
        <v>283</v>
      </c>
      <c r="D47" s="77"/>
    </row>
    <row r="48" spans="1:4" ht="18" customHeight="1" x14ac:dyDescent="0.25">
      <c r="B48" s="54" t="s">
        <v>284</v>
      </c>
      <c r="C48" s="77" t="s">
        <v>285</v>
      </c>
      <c r="D48" s="77"/>
    </row>
    <row r="49" spans="1:4" ht="18" customHeight="1" x14ac:dyDescent="0.25">
      <c r="B49" s="54" t="s">
        <v>286</v>
      </c>
      <c r="C49" s="77" t="s">
        <v>287</v>
      </c>
      <c r="D49" s="77"/>
    </row>
    <row r="50" spans="1:4" ht="7.5" customHeight="1" x14ac:dyDescent="0.25"/>
    <row r="51" spans="1:4" ht="25.5" customHeight="1" x14ac:dyDescent="0.25">
      <c r="A51" s="75" t="s">
        <v>288</v>
      </c>
      <c r="B51" s="75"/>
      <c r="C51" s="76" t="s">
        <v>289</v>
      </c>
      <c r="D51" s="76"/>
    </row>
    <row r="52" spans="1:4" ht="18" customHeight="1" x14ac:dyDescent="0.25">
      <c r="B52" s="54" t="s">
        <v>290</v>
      </c>
      <c r="C52" s="77" t="s">
        <v>291</v>
      </c>
      <c r="D52" s="77"/>
    </row>
    <row r="53" spans="1:4" ht="18" customHeight="1" x14ac:dyDescent="0.25">
      <c r="B53" s="54" t="s">
        <v>292</v>
      </c>
      <c r="C53" s="77" t="s">
        <v>293</v>
      </c>
      <c r="D53" s="77"/>
    </row>
    <row r="54" spans="1:4" ht="18" customHeight="1" x14ac:dyDescent="0.25">
      <c r="B54" s="54" t="s">
        <v>294</v>
      </c>
      <c r="C54" s="77" t="s">
        <v>295</v>
      </c>
      <c r="D54" s="77"/>
    </row>
    <row r="55" spans="1:4" ht="18" customHeight="1" x14ac:dyDescent="0.25">
      <c r="B55" s="54" t="s">
        <v>296</v>
      </c>
      <c r="C55" s="77" t="s">
        <v>297</v>
      </c>
      <c r="D55" s="77"/>
    </row>
    <row r="56" spans="1:4" ht="18" customHeight="1" x14ac:dyDescent="0.25">
      <c r="B56" s="54" t="s">
        <v>298</v>
      </c>
      <c r="C56" s="77" t="s">
        <v>299</v>
      </c>
      <c r="D56" s="77"/>
    </row>
    <row r="57" spans="1:4" ht="18" customHeight="1" x14ac:dyDescent="0.25">
      <c r="B57" s="54" t="s">
        <v>300</v>
      </c>
      <c r="C57" s="77" t="s">
        <v>301</v>
      </c>
      <c r="D57" s="77"/>
    </row>
    <row r="58" spans="1:4" ht="18" customHeight="1" x14ac:dyDescent="0.25">
      <c r="B58" s="54" t="s">
        <v>302</v>
      </c>
      <c r="C58" s="77" t="s">
        <v>303</v>
      </c>
      <c r="D58" s="77"/>
    </row>
    <row r="59" spans="1:4" ht="7.5" customHeight="1" x14ac:dyDescent="0.25"/>
    <row r="60" spans="1:4" ht="25.5" customHeight="1" x14ac:dyDescent="0.25">
      <c r="A60" s="75" t="s">
        <v>304</v>
      </c>
      <c r="B60" s="75"/>
      <c r="C60" s="76" t="s">
        <v>305</v>
      </c>
      <c r="D60" s="76"/>
    </row>
    <row r="61" spans="1:4" ht="18" customHeight="1" x14ac:dyDescent="0.25">
      <c r="B61" s="54" t="s">
        <v>306</v>
      </c>
      <c r="C61" s="77" t="s">
        <v>307</v>
      </c>
      <c r="D61" s="77"/>
    </row>
    <row r="62" spans="1:4" ht="18" customHeight="1" x14ac:dyDescent="0.25">
      <c r="B62" s="54" t="s">
        <v>308</v>
      </c>
      <c r="C62" s="77" t="s">
        <v>309</v>
      </c>
      <c r="D62" s="77"/>
    </row>
    <row r="63" spans="1:4" ht="18" customHeight="1" x14ac:dyDescent="0.25">
      <c r="B63" s="54" t="s">
        <v>310</v>
      </c>
      <c r="C63" s="77" t="s">
        <v>311</v>
      </c>
      <c r="D63" s="77"/>
    </row>
    <row r="64" spans="1:4" ht="18" customHeight="1" x14ac:dyDescent="0.25">
      <c r="B64" s="54" t="s">
        <v>312</v>
      </c>
      <c r="C64" s="77" t="s">
        <v>313</v>
      </c>
      <c r="D64" s="77"/>
    </row>
    <row r="65" spans="1:4" ht="18" customHeight="1" x14ac:dyDescent="0.25">
      <c r="B65" s="54" t="s">
        <v>314</v>
      </c>
      <c r="C65" s="77" t="s">
        <v>315</v>
      </c>
      <c r="D65" s="77"/>
    </row>
    <row r="66" spans="1:4" ht="7.5" customHeight="1" x14ac:dyDescent="0.25"/>
    <row r="67" spans="1:4" ht="19.5" customHeight="1" x14ac:dyDescent="0.25">
      <c r="A67" s="12" t="s">
        <v>316</v>
      </c>
      <c r="B67" s="12"/>
      <c r="C67" s="12"/>
      <c r="D67" s="12"/>
    </row>
    <row r="68" spans="1:4" ht="19.5" customHeight="1" x14ac:dyDescent="0.25">
      <c r="A68" s="79" t="s">
        <v>317</v>
      </c>
      <c r="B68" s="79"/>
      <c r="C68" s="79"/>
      <c r="D68" s="79"/>
    </row>
    <row r="69" spans="1:4" ht="21.75" customHeight="1" x14ac:dyDescent="0.25">
      <c r="A69" s="80" t="s">
        <v>318</v>
      </c>
      <c r="B69" s="80"/>
      <c r="C69" s="80"/>
      <c r="D69" s="80"/>
    </row>
    <row r="70" spans="1:4" ht="19.5" customHeight="1" x14ac:dyDescent="0.25">
      <c r="A70" s="79" t="s">
        <v>319</v>
      </c>
      <c r="B70" s="79"/>
      <c r="C70" s="79"/>
      <c r="D70" s="79"/>
    </row>
    <row r="71" spans="1:4" ht="21.75" customHeight="1" x14ac:dyDescent="0.25">
      <c r="A71" s="80" t="s">
        <v>320</v>
      </c>
      <c r="B71" s="80"/>
      <c r="C71" s="80"/>
      <c r="D71" s="80"/>
    </row>
    <row r="72" spans="1:4" ht="19.5" customHeight="1" x14ac:dyDescent="0.25">
      <c r="A72" s="79" t="s">
        <v>321</v>
      </c>
      <c r="B72" s="79"/>
      <c r="C72" s="79"/>
      <c r="D72" s="79"/>
    </row>
    <row r="73" spans="1:4" ht="21.75" customHeight="1" x14ac:dyDescent="0.25">
      <c r="A73" s="80" t="s">
        <v>322</v>
      </c>
      <c r="B73" s="80"/>
      <c r="C73" s="80"/>
      <c r="D73" s="80"/>
    </row>
    <row r="74" spans="1:4" ht="19.5" customHeight="1" x14ac:dyDescent="0.25">
      <c r="A74" s="79" t="s">
        <v>323</v>
      </c>
      <c r="B74" s="79"/>
      <c r="C74" s="79"/>
      <c r="D74" s="79"/>
    </row>
    <row r="75" spans="1:4" ht="21.75" customHeight="1" x14ac:dyDescent="0.25">
      <c r="A75" s="80" t="s">
        <v>324</v>
      </c>
      <c r="B75" s="80"/>
      <c r="C75" s="80"/>
      <c r="D75" s="80"/>
    </row>
    <row r="76" spans="1:4" ht="19.5" customHeight="1" x14ac:dyDescent="0.25">
      <c r="A76" s="79" t="s">
        <v>325</v>
      </c>
      <c r="B76" s="79"/>
      <c r="C76" s="79"/>
      <c r="D76" s="79"/>
    </row>
    <row r="77" spans="1:4" ht="21.75" customHeight="1" x14ac:dyDescent="0.25">
      <c r="A77" s="80" t="s">
        <v>326</v>
      </c>
      <c r="B77" s="80"/>
      <c r="C77" s="80"/>
      <c r="D77" s="80"/>
    </row>
    <row r="78" spans="1:4" ht="19.5" customHeight="1" x14ac:dyDescent="0.25">
      <c r="A78" s="79" t="s">
        <v>327</v>
      </c>
      <c r="B78" s="79"/>
      <c r="C78" s="79"/>
      <c r="D78" s="79"/>
    </row>
    <row r="79" spans="1:4" ht="21.75" customHeight="1" x14ac:dyDescent="0.25">
      <c r="A79" s="80" t="s">
        <v>328</v>
      </c>
      <c r="B79" s="80"/>
      <c r="C79" s="80"/>
      <c r="D79" s="80"/>
    </row>
    <row r="80" spans="1:4" ht="7.5" customHeight="1" x14ac:dyDescent="0.25"/>
    <row r="81" spans="1:4" ht="21.75" customHeight="1" x14ac:dyDescent="0.25">
      <c r="A81" s="57" t="s">
        <v>42</v>
      </c>
      <c r="B81" s="57"/>
      <c r="C81" s="57"/>
      <c r="D81" s="57"/>
    </row>
  </sheetData>
  <mergeCells count="79">
    <mergeCell ref="A78:D78"/>
    <mergeCell ref="A79:D79"/>
    <mergeCell ref="A81:D81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C62:D62"/>
    <mergeCell ref="C63:D63"/>
    <mergeCell ref="C64:D64"/>
    <mergeCell ref="C65:D65"/>
    <mergeCell ref="A67:D67"/>
    <mergeCell ref="C57:D57"/>
    <mergeCell ref="C58:D58"/>
    <mergeCell ref="A60:B60"/>
    <mergeCell ref="C60:D60"/>
    <mergeCell ref="C61:D61"/>
    <mergeCell ref="C52:D52"/>
    <mergeCell ref="C53:D53"/>
    <mergeCell ref="C54:D54"/>
    <mergeCell ref="C55:D55"/>
    <mergeCell ref="C56:D56"/>
    <mergeCell ref="C46:D46"/>
    <mergeCell ref="C47:D47"/>
    <mergeCell ref="C48:D48"/>
    <mergeCell ref="C49:D49"/>
    <mergeCell ref="A51:B51"/>
    <mergeCell ref="C51:D51"/>
    <mergeCell ref="C41:D41"/>
    <mergeCell ref="C42:D42"/>
    <mergeCell ref="C43:D43"/>
    <mergeCell ref="A45:B45"/>
    <mergeCell ref="C45:D45"/>
    <mergeCell ref="A37:B37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A24:B24"/>
    <mergeCell ref="C24:D24"/>
    <mergeCell ref="C25:D25"/>
    <mergeCell ref="C16:D16"/>
    <mergeCell ref="C17:D17"/>
    <mergeCell ref="C18:D18"/>
    <mergeCell ref="C19:D19"/>
    <mergeCell ref="C20:D20"/>
    <mergeCell ref="A12:B12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D1"/>
    <mergeCell ref="A2:D2"/>
    <mergeCell ref="A4:B4"/>
    <mergeCell ref="C4:D4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VAT_Return</vt:lpstr>
      <vt:lpstr>Sales</vt:lpstr>
      <vt:lpstr>Expenses</vt:lpstr>
      <vt:lpstr>FRS_Calculator</vt:lpstr>
      <vt:lpstr>Scheme_Guide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Yatrik Pandya</cp:lastModifiedBy>
  <cp:revision>0</cp:revision>
  <dcterms:created xsi:type="dcterms:W3CDTF">2026-04-25T10:16:11Z</dcterms:created>
  <dcterms:modified xsi:type="dcterms:W3CDTF">2026-04-25T11:34:10Z</dcterms:modified>
  <dc:language>en-US</dc:language>
</cp:coreProperties>
</file>