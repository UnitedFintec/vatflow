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y Drive\Work - United Fintec Limited\VAT Website\v8\"/>
    </mc:Choice>
  </mc:AlternateContent>
  <xr:revisionPtr revIDLastSave="0" documentId="13_ncr:1_{CF8F5A2E-E2E1-426D-BD69-8F43C5FAEC1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VAT_Return" sheetId="1" r:id="rId1"/>
    <sheet name="Sales" sheetId="2" r:id="rId2"/>
    <sheet name="Expenses" sheetId="3" r:id="rId3"/>
    <sheet name="FRS_Calculator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" l="1"/>
  <c r="J204" i="3"/>
  <c r="I204" i="3"/>
  <c r="H204" i="3"/>
  <c r="G204" i="3"/>
  <c r="J203" i="3"/>
  <c r="I203" i="3"/>
  <c r="H203" i="3"/>
  <c r="G203" i="3"/>
  <c r="J202" i="3"/>
  <c r="I202" i="3"/>
  <c r="H202" i="3"/>
  <c r="G202" i="3"/>
  <c r="J201" i="3"/>
  <c r="I201" i="3"/>
  <c r="H201" i="3"/>
  <c r="G201" i="3"/>
  <c r="J200" i="3"/>
  <c r="I200" i="3"/>
  <c r="H200" i="3"/>
  <c r="G200" i="3"/>
  <c r="J199" i="3"/>
  <c r="I199" i="3"/>
  <c r="H199" i="3"/>
  <c r="G199" i="3"/>
  <c r="J198" i="3"/>
  <c r="I198" i="3"/>
  <c r="H198" i="3"/>
  <c r="G198" i="3"/>
  <c r="J197" i="3"/>
  <c r="I197" i="3"/>
  <c r="H197" i="3"/>
  <c r="G197" i="3"/>
  <c r="J196" i="3"/>
  <c r="I196" i="3"/>
  <c r="H196" i="3"/>
  <c r="G196" i="3"/>
  <c r="J195" i="3"/>
  <c r="I195" i="3"/>
  <c r="H195" i="3"/>
  <c r="G195" i="3"/>
  <c r="J194" i="3"/>
  <c r="I194" i="3"/>
  <c r="H194" i="3"/>
  <c r="G194" i="3"/>
  <c r="J193" i="3"/>
  <c r="I193" i="3"/>
  <c r="H193" i="3"/>
  <c r="G193" i="3"/>
  <c r="J192" i="3"/>
  <c r="I192" i="3"/>
  <c r="H192" i="3"/>
  <c r="G192" i="3"/>
  <c r="J191" i="3"/>
  <c r="I191" i="3"/>
  <c r="H191" i="3"/>
  <c r="G191" i="3"/>
  <c r="J190" i="3"/>
  <c r="I190" i="3"/>
  <c r="H190" i="3"/>
  <c r="G190" i="3"/>
  <c r="J189" i="3"/>
  <c r="I189" i="3"/>
  <c r="H189" i="3"/>
  <c r="G189" i="3"/>
  <c r="J188" i="3"/>
  <c r="I188" i="3"/>
  <c r="H188" i="3"/>
  <c r="G188" i="3"/>
  <c r="J187" i="3"/>
  <c r="I187" i="3"/>
  <c r="H187" i="3"/>
  <c r="G187" i="3"/>
  <c r="J186" i="3"/>
  <c r="I186" i="3"/>
  <c r="H186" i="3"/>
  <c r="G186" i="3"/>
  <c r="J185" i="3"/>
  <c r="I185" i="3"/>
  <c r="H185" i="3"/>
  <c r="G185" i="3"/>
  <c r="J184" i="3"/>
  <c r="I184" i="3"/>
  <c r="H184" i="3"/>
  <c r="G184" i="3"/>
  <c r="J183" i="3"/>
  <c r="I183" i="3"/>
  <c r="H183" i="3"/>
  <c r="G183" i="3"/>
  <c r="J182" i="3"/>
  <c r="I182" i="3"/>
  <c r="H182" i="3"/>
  <c r="G182" i="3"/>
  <c r="J181" i="3"/>
  <c r="I181" i="3"/>
  <c r="H181" i="3"/>
  <c r="G181" i="3"/>
  <c r="J180" i="3"/>
  <c r="I180" i="3"/>
  <c r="H180" i="3"/>
  <c r="G180" i="3"/>
  <c r="J179" i="3"/>
  <c r="I179" i="3"/>
  <c r="H179" i="3"/>
  <c r="G179" i="3"/>
  <c r="J178" i="3"/>
  <c r="I178" i="3"/>
  <c r="H178" i="3"/>
  <c r="G178" i="3"/>
  <c r="J177" i="3"/>
  <c r="I177" i="3"/>
  <c r="H177" i="3"/>
  <c r="G177" i="3"/>
  <c r="J176" i="3"/>
  <c r="I176" i="3"/>
  <c r="H176" i="3"/>
  <c r="G176" i="3"/>
  <c r="J175" i="3"/>
  <c r="I175" i="3"/>
  <c r="H175" i="3"/>
  <c r="G175" i="3"/>
  <c r="J174" i="3"/>
  <c r="I174" i="3"/>
  <c r="H174" i="3"/>
  <c r="G174" i="3"/>
  <c r="J173" i="3"/>
  <c r="I173" i="3"/>
  <c r="H173" i="3"/>
  <c r="G173" i="3"/>
  <c r="J172" i="3"/>
  <c r="I172" i="3"/>
  <c r="H172" i="3"/>
  <c r="G172" i="3"/>
  <c r="J171" i="3"/>
  <c r="I171" i="3"/>
  <c r="H171" i="3"/>
  <c r="G171" i="3"/>
  <c r="J170" i="3"/>
  <c r="I170" i="3"/>
  <c r="H170" i="3"/>
  <c r="G170" i="3"/>
  <c r="J169" i="3"/>
  <c r="I169" i="3"/>
  <c r="H169" i="3"/>
  <c r="G169" i="3"/>
  <c r="J168" i="3"/>
  <c r="I168" i="3"/>
  <c r="H168" i="3"/>
  <c r="G168" i="3"/>
  <c r="J167" i="3"/>
  <c r="I167" i="3"/>
  <c r="H167" i="3"/>
  <c r="G167" i="3"/>
  <c r="J166" i="3"/>
  <c r="I166" i="3"/>
  <c r="H166" i="3"/>
  <c r="G166" i="3"/>
  <c r="J165" i="3"/>
  <c r="I165" i="3"/>
  <c r="H165" i="3"/>
  <c r="G165" i="3"/>
  <c r="J164" i="3"/>
  <c r="I164" i="3"/>
  <c r="H164" i="3"/>
  <c r="G164" i="3"/>
  <c r="J163" i="3"/>
  <c r="I163" i="3"/>
  <c r="H163" i="3"/>
  <c r="G163" i="3"/>
  <c r="J162" i="3"/>
  <c r="I162" i="3"/>
  <c r="H162" i="3"/>
  <c r="G162" i="3"/>
  <c r="J161" i="3"/>
  <c r="I161" i="3"/>
  <c r="H161" i="3"/>
  <c r="G161" i="3"/>
  <c r="J160" i="3"/>
  <c r="I160" i="3"/>
  <c r="H160" i="3"/>
  <c r="G160" i="3"/>
  <c r="J159" i="3"/>
  <c r="I159" i="3"/>
  <c r="H159" i="3"/>
  <c r="G159" i="3"/>
  <c r="J158" i="3"/>
  <c r="I158" i="3"/>
  <c r="H158" i="3"/>
  <c r="G158" i="3"/>
  <c r="J157" i="3"/>
  <c r="I157" i="3"/>
  <c r="H157" i="3"/>
  <c r="G157" i="3"/>
  <c r="J156" i="3"/>
  <c r="I156" i="3"/>
  <c r="H156" i="3"/>
  <c r="G156" i="3"/>
  <c r="J155" i="3"/>
  <c r="I155" i="3"/>
  <c r="H155" i="3"/>
  <c r="G155" i="3"/>
  <c r="J154" i="3"/>
  <c r="I154" i="3"/>
  <c r="H154" i="3"/>
  <c r="G154" i="3"/>
  <c r="J153" i="3"/>
  <c r="I153" i="3"/>
  <c r="H153" i="3"/>
  <c r="G153" i="3"/>
  <c r="J152" i="3"/>
  <c r="I152" i="3"/>
  <c r="H152" i="3"/>
  <c r="G152" i="3"/>
  <c r="J151" i="3"/>
  <c r="I151" i="3"/>
  <c r="H151" i="3"/>
  <c r="G151" i="3"/>
  <c r="J150" i="3"/>
  <c r="I150" i="3"/>
  <c r="H150" i="3"/>
  <c r="G150" i="3"/>
  <c r="J149" i="3"/>
  <c r="I149" i="3"/>
  <c r="H149" i="3"/>
  <c r="G149" i="3"/>
  <c r="J148" i="3"/>
  <c r="I148" i="3"/>
  <c r="H148" i="3"/>
  <c r="G148" i="3"/>
  <c r="J147" i="3"/>
  <c r="I147" i="3"/>
  <c r="H147" i="3"/>
  <c r="G147" i="3"/>
  <c r="J146" i="3"/>
  <c r="I146" i="3"/>
  <c r="H146" i="3"/>
  <c r="G146" i="3"/>
  <c r="J145" i="3"/>
  <c r="I145" i="3"/>
  <c r="H145" i="3"/>
  <c r="G145" i="3"/>
  <c r="J144" i="3"/>
  <c r="I144" i="3"/>
  <c r="H144" i="3"/>
  <c r="G144" i="3"/>
  <c r="J143" i="3"/>
  <c r="I143" i="3"/>
  <c r="H143" i="3"/>
  <c r="G143" i="3"/>
  <c r="J142" i="3"/>
  <c r="I142" i="3"/>
  <c r="H142" i="3"/>
  <c r="G142" i="3"/>
  <c r="J141" i="3"/>
  <c r="I141" i="3"/>
  <c r="H141" i="3"/>
  <c r="G141" i="3"/>
  <c r="J140" i="3"/>
  <c r="I140" i="3"/>
  <c r="H140" i="3"/>
  <c r="G140" i="3"/>
  <c r="J139" i="3"/>
  <c r="I139" i="3"/>
  <c r="H139" i="3"/>
  <c r="G139" i="3"/>
  <c r="J138" i="3"/>
  <c r="I138" i="3"/>
  <c r="H138" i="3"/>
  <c r="G138" i="3"/>
  <c r="J137" i="3"/>
  <c r="I137" i="3"/>
  <c r="H137" i="3"/>
  <c r="G137" i="3"/>
  <c r="J136" i="3"/>
  <c r="I136" i="3"/>
  <c r="H136" i="3"/>
  <c r="G136" i="3"/>
  <c r="J135" i="3"/>
  <c r="I135" i="3"/>
  <c r="H135" i="3"/>
  <c r="G135" i="3"/>
  <c r="J134" i="3"/>
  <c r="I134" i="3"/>
  <c r="H134" i="3"/>
  <c r="G134" i="3"/>
  <c r="J133" i="3"/>
  <c r="I133" i="3"/>
  <c r="H133" i="3"/>
  <c r="G133" i="3"/>
  <c r="J132" i="3"/>
  <c r="I132" i="3"/>
  <c r="H132" i="3"/>
  <c r="G132" i="3"/>
  <c r="J131" i="3"/>
  <c r="I131" i="3"/>
  <c r="H131" i="3"/>
  <c r="G131" i="3"/>
  <c r="J130" i="3"/>
  <c r="I130" i="3"/>
  <c r="H130" i="3"/>
  <c r="G130" i="3"/>
  <c r="J129" i="3"/>
  <c r="I129" i="3"/>
  <c r="H129" i="3"/>
  <c r="G129" i="3"/>
  <c r="J128" i="3"/>
  <c r="I128" i="3"/>
  <c r="H128" i="3"/>
  <c r="G128" i="3"/>
  <c r="J127" i="3"/>
  <c r="I127" i="3"/>
  <c r="H127" i="3"/>
  <c r="G127" i="3"/>
  <c r="J126" i="3"/>
  <c r="I126" i="3"/>
  <c r="H126" i="3"/>
  <c r="G126" i="3"/>
  <c r="J125" i="3"/>
  <c r="I125" i="3"/>
  <c r="H125" i="3"/>
  <c r="G125" i="3"/>
  <c r="J124" i="3"/>
  <c r="I124" i="3"/>
  <c r="H124" i="3"/>
  <c r="G124" i="3"/>
  <c r="J123" i="3"/>
  <c r="I123" i="3"/>
  <c r="H123" i="3"/>
  <c r="G123" i="3"/>
  <c r="J122" i="3"/>
  <c r="I122" i="3"/>
  <c r="H122" i="3"/>
  <c r="G122" i="3"/>
  <c r="J121" i="3"/>
  <c r="I121" i="3"/>
  <c r="H121" i="3"/>
  <c r="G121" i="3"/>
  <c r="J120" i="3"/>
  <c r="I120" i="3"/>
  <c r="H120" i="3"/>
  <c r="G120" i="3"/>
  <c r="J119" i="3"/>
  <c r="I119" i="3"/>
  <c r="H119" i="3"/>
  <c r="G119" i="3"/>
  <c r="J118" i="3"/>
  <c r="I118" i="3"/>
  <c r="H118" i="3"/>
  <c r="G118" i="3"/>
  <c r="J117" i="3"/>
  <c r="I117" i="3"/>
  <c r="H117" i="3"/>
  <c r="G117" i="3"/>
  <c r="J116" i="3"/>
  <c r="I116" i="3"/>
  <c r="H116" i="3"/>
  <c r="G116" i="3"/>
  <c r="J115" i="3"/>
  <c r="I115" i="3"/>
  <c r="H115" i="3"/>
  <c r="G115" i="3"/>
  <c r="J114" i="3"/>
  <c r="I114" i="3"/>
  <c r="H114" i="3"/>
  <c r="G114" i="3"/>
  <c r="J113" i="3"/>
  <c r="I113" i="3"/>
  <c r="H113" i="3"/>
  <c r="G113" i="3"/>
  <c r="J112" i="3"/>
  <c r="I112" i="3"/>
  <c r="H112" i="3"/>
  <c r="G112" i="3"/>
  <c r="J111" i="3"/>
  <c r="I111" i="3"/>
  <c r="H111" i="3"/>
  <c r="G111" i="3"/>
  <c r="J110" i="3"/>
  <c r="I110" i="3"/>
  <c r="H110" i="3"/>
  <c r="G110" i="3"/>
  <c r="J109" i="3"/>
  <c r="I109" i="3"/>
  <c r="H109" i="3"/>
  <c r="G109" i="3"/>
  <c r="J108" i="3"/>
  <c r="I108" i="3"/>
  <c r="H108" i="3"/>
  <c r="G108" i="3"/>
  <c r="J107" i="3"/>
  <c r="I107" i="3"/>
  <c r="H107" i="3"/>
  <c r="G107" i="3"/>
  <c r="J106" i="3"/>
  <c r="I106" i="3"/>
  <c r="H106" i="3"/>
  <c r="G106" i="3"/>
  <c r="J105" i="3"/>
  <c r="I105" i="3"/>
  <c r="H105" i="3"/>
  <c r="G105" i="3"/>
  <c r="J104" i="3"/>
  <c r="I104" i="3"/>
  <c r="H104" i="3"/>
  <c r="G104" i="3"/>
  <c r="J103" i="3"/>
  <c r="I103" i="3"/>
  <c r="H103" i="3"/>
  <c r="G103" i="3"/>
  <c r="J102" i="3"/>
  <c r="I102" i="3"/>
  <c r="H102" i="3"/>
  <c r="G102" i="3"/>
  <c r="J101" i="3"/>
  <c r="I101" i="3"/>
  <c r="H101" i="3"/>
  <c r="G101" i="3"/>
  <c r="J100" i="3"/>
  <c r="I100" i="3"/>
  <c r="H100" i="3"/>
  <c r="G100" i="3"/>
  <c r="J99" i="3"/>
  <c r="I99" i="3"/>
  <c r="H99" i="3"/>
  <c r="G99" i="3"/>
  <c r="J98" i="3"/>
  <c r="I98" i="3"/>
  <c r="H98" i="3"/>
  <c r="G98" i="3"/>
  <c r="J97" i="3"/>
  <c r="I97" i="3"/>
  <c r="H97" i="3"/>
  <c r="G97" i="3"/>
  <c r="J96" i="3"/>
  <c r="I96" i="3"/>
  <c r="H96" i="3"/>
  <c r="G96" i="3"/>
  <c r="J95" i="3"/>
  <c r="I95" i="3"/>
  <c r="H95" i="3"/>
  <c r="G95" i="3"/>
  <c r="J94" i="3"/>
  <c r="I94" i="3"/>
  <c r="H94" i="3"/>
  <c r="G94" i="3"/>
  <c r="J93" i="3"/>
  <c r="I93" i="3"/>
  <c r="H93" i="3"/>
  <c r="G93" i="3"/>
  <c r="J92" i="3"/>
  <c r="I92" i="3"/>
  <c r="H92" i="3"/>
  <c r="G92" i="3"/>
  <c r="J91" i="3"/>
  <c r="I91" i="3"/>
  <c r="H91" i="3"/>
  <c r="G91" i="3"/>
  <c r="J90" i="3"/>
  <c r="I90" i="3"/>
  <c r="H90" i="3"/>
  <c r="G90" i="3"/>
  <c r="J89" i="3"/>
  <c r="I89" i="3"/>
  <c r="H89" i="3"/>
  <c r="G89" i="3"/>
  <c r="J88" i="3"/>
  <c r="I88" i="3"/>
  <c r="H88" i="3"/>
  <c r="G88" i="3"/>
  <c r="J87" i="3"/>
  <c r="I87" i="3"/>
  <c r="H87" i="3"/>
  <c r="G87" i="3"/>
  <c r="J86" i="3"/>
  <c r="I86" i="3"/>
  <c r="H86" i="3"/>
  <c r="G86" i="3"/>
  <c r="J85" i="3"/>
  <c r="I85" i="3"/>
  <c r="H85" i="3"/>
  <c r="G85" i="3"/>
  <c r="J84" i="3"/>
  <c r="I84" i="3"/>
  <c r="H84" i="3"/>
  <c r="G84" i="3"/>
  <c r="J83" i="3"/>
  <c r="I83" i="3"/>
  <c r="H83" i="3"/>
  <c r="G83" i="3"/>
  <c r="J82" i="3"/>
  <c r="I82" i="3"/>
  <c r="H82" i="3"/>
  <c r="G82" i="3"/>
  <c r="J81" i="3"/>
  <c r="I81" i="3"/>
  <c r="H81" i="3"/>
  <c r="G81" i="3"/>
  <c r="J80" i="3"/>
  <c r="I80" i="3"/>
  <c r="H80" i="3"/>
  <c r="G80" i="3"/>
  <c r="J79" i="3"/>
  <c r="I79" i="3"/>
  <c r="H79" i="3"/>
  <c r="G79" i="3"/>
  <c r="J78" i="3"/>
  <c r="I78" i="3"/>
  <c r="H78" i="3"/>
  <c r="G78" i="3"/>
  <c r="J77" i="3"/>
  <c r="I77" i="3"/>
  <c r="H77" i="3"/>
  <c r="G77" i="3"/>
  <c r="J76" i="3"/>
  <c r="I76" i="3"/>
  <c r="H76" i="3"/>
  <c r="G76" i="3"/>
  <c r="J75" i="3"/>
  <c r="I75" i="3"/>
  <c r="H75" i="3"/>
  <c r="G75" i="3"/>
  <c r="J74" i="3"/>
  <c r="I74" i="3"/>
  <c r="H74" i="3"/>
  <c r="G74" i="3"/>
  <c r="J73" i="3"/>
  <c r="I73" i="3"/>
  <c r="H73" i="3"/>
  <c r="G73" i="3"/>
  <c r="J72" i="3"/>
  <c r="I72" i="3"/>
  <c r="H72" i="3"/>
  <c r="G72" i="3"/>
  <c r="J71" i="3"/>
  <c r="I71" i="3"/>
  <c r="H71" i="3"/>
  <c r="G71" i="3"/>
  <c r="J70" i="3"/>
  <c r="I70" i="3"/>
  <c r="H70" i="3"/>
  <c r="G70" i="3"/>
  <c r="J69" i="3"/>
  <c r="I69" i="3"/>
  <c r="H69" i="3"/>
  <c r="G69" i="3"/>
  <c r="J68" i="3"/>
  <c r="I68" i="3"/>
  <c r="H68" i="3"/>
  <c r="G68" i="3"/>
  <c r="J67" i="3"/>
  <c r="I67" i="3"/>
  <c r="H67" i="3"/>
  <c r="G67" i="3"/>
  <c r="J66" i="3"/>
  <c r="I66" i="3"/>
  <c r="H66" i="3"/>
  <c r="G66" i="3"/>
  <c r="J65" i="3"/>
  <c r="I65" i="3"/>
  <c r="H65" i="3"/>
  <c r="G65" i="3"/>
  <c r="J64" i="3"/>
  <c r="I64" i="3"/>
  <c r="H64" i="3"/>
  <c r="G64" i="3"/>
  <c r="J63" i="3"/>
  <c r="I63" i="3"/>
  <c r="H63" i="3"/>
  <c r="G63" i="3"/>
  <c r="J62" i="3"/>
  <c r="I62" i="3"/>
  <c r="H62" i="3"/>
  <c r="G62" i="3"/>
  <c r="J61" i="3"/>
  <c r="I61" i="3"/>
  <c r="H61" i="3"/>
  <c r="G61" i="3"/>
  <c r="J60" i="3"/>
  <c r="I60" i="3"/>
  <c r="H60" i="3"/>
  <c r="G60" i="3"/>
  <c r="J59" i="3"/>
  <c r="I59" i="3"/>
  <c r="H59" i="3"/>
  <c r="G59" i="3"/>
  <c r="J58" i="3"/>
  <c r="I58" i="3"/>
  <c r="H58" i="3"/>
  <c r="G58" i="3"/>
  <c r="J57" i="3"/>
  <c r="I57" i="3"/>
  <c r="H57" i="3"/>
  <c r="G57" i="3"/>
  <c r="J56" i="3"/>
  <c r="I56" i="3"/>
  <c r="H56" i="3"/>
  <c r="G56" i="3"/>
  <c r="J55" i="3"/>
  <c r="I55" i="3"/>
  <c r="H55" i="3"/>
  <c r="G55" i="3"/>
  <c r="J54" i="3"/>
  <c r="I54" i="3"/>
  <c r="H54" i="3"/>
  <c r="G54" i="3"/>
  <c r="J53" i="3"/>
  <c r="I53" i="3"/>
  <c r="H53" i="3"/>
  <c r="G53" i="3"/>
  <c r="J52" i="3"/>
  <c r="I52" i="3"/>
  <c r="H52" i="3"/>
  <c r="G52" i="3"/>
  <c r="J51" i="3"/>
  <c r="I51" i="3"/>
  <c r="H51" i="3"/>
  <c r="G51" i="3"/>
  <c r="J50" i="3"/>
  <c r="I50" i="3"/>
  <c r="H50" i="3"/>
  <c r="G50" i="3"/>
  <c r="J49" i="3"/>
  <c r="I49" i="3"/>
  <c r="H49" i="3"/>
  <c r="G49" i="3"/>
  <c r="J48" i="3"/>
  <c r="I48" i="3"/>
  <c r="H48" i="3"/>
  <c r="G48" i="3"/>
  <c r="J47" i="3"/>
  <c r="I47" i="3"/>
  <c r="H47" i="3"/>
  <c r="G47" i="3"/>
  <c r="J46" i="3"/>
  <c r="I46" i="3"/>
  <c r="H46" i="3"/>
  <c r="G46" i="3"/>
  <c r="J45" i="3"/>
  <c r="I45" i="3"/>
  <c r="H45" i="3"/>
  <c r="G45" i="3"/>
  <c r="J44" i="3"/>
  <c r="I44" i="3"/>
  <c r="H44" i="3"/>
  <c r="G44" i="3"/>
  <c r="J43" i="3"/>
  <c r="I43" i="3"/>
  <c r="H43" i="3"/>
  <c r="G43" i="3"/>
  <c r="J42" i="3"/>
  <c r="I42" i="3"/>
  <c r="H42" i="3"/>
  <c r="G42" i="3"/>
  <c r="J41" i="3"/>
  <c r="I41" i="3"/>
  <c r="H41" i="3"/>
  <c r="G41" i="3"/>
  <c r="J40" i="3"/>
  <c r="I40" i="3"/>
  <c r="H40" i="3"/>
  <c r="G40" i="3"/>
  <c r="J39" i="3"/>
  <c r="I39" i="3"/>
  <c r="H39" i="3"/>
  <c r="G39" i="3"/>
  <c r="J38" i="3"/>
  <c r="I38" i="3"/>
  <c r="H38" i="3"/>
  <c r="G38" i="3"/>
  <c r="J37" i="3"/>
  <c r="I37" i="3"/>
  <c r="H37" i="3"/>
  <c r="G37" i="3"/>
  <c r="J36" i="3"/>
  <c r="I36" i="3"/>
  <c r="H36" i="3"/>
  <c r="G36" i="3"/>
  <c r="J35" i="3"/>
  <c r="I35" i="3"/>
  <c r="H35" i="3"/>
  <c r="G35" i="3"/>
  <c r="J34" i="3"/>
  <c r="I34" i="3"/>
  <c r="H34" i="3"/>
  <c r="G34" i="3"/>
  <c r="J33" i="3"/>
  <c r="I33" i="3"/>
  <c r="H33" i="3"/>
  <c r="G33" i="3"/>
  <c r="J32" i="3"/>
  <c r="I32" i="3"/>
  <c r="H32" i="3"/>
  <c r="G32" i="3"/>
  <c r="J31" i="3"/>
  <c r="I31" i="3"/>
  <c r="H31" i="3"/>
  <c r="G31" i="3"/>
  <c r="J30" i="3"/>
  <c r="I30" i="3"/>
  <c r="H30" i="3"/>
  <c r="G30" i="3"/>
  <c r="J29" i="3"/>
  <c r="I29" i="3"/>
  <c r="H29" i="3"/>
  <c r="G29" i="3"/>
  <c r="J28" i="3"/>
  <c r="I28" i="3"/>
  <c r="H28" i="3"/>
  <c r="G28" i="3"/>
  <c r="J27" i="3"/>
  <c r="I27" i="3"/>
  <c r="H27" i="3"/>
  <c r="G27" i="3"/>
  <c r="J26" i="3"/>
  <c r="I26" i="3"/>
  <c r="H26" i="3"/>
  <c r="G26" i="3"/>
  <c r="J25" i="3"/>
  <c r="I25" i="3"/>
  <c r="H25" i="3"/>
  <c r="G25" i="3"/>
  <c r="J24" i="3"/>
  <c r="I24" i="3"/>
  <c r="H24" i="3"/>
  <c r="G24" i="3"/>
  <c r="J23" i="3"/>
  <c r="I23" i="3"/>
  <c r="H23" i="3"/>
  <c r="G23" i="3"/>
  <c r="J22" i="3"/>
  <c r="I22" i="3"/>
  <c r="H22" i="3"/>
  <c r="G22" i="3"/>
  <c r="J21" i="3"/>
  <c r="I21" i="3"/>
  <c r="H21" i="3"/>
  <c r="G21" i="3"/>
  <c r="J20" i="3"/>
  <c r="I20" i="3"/>
  <c r="H20" i="3"/>
  <c r="G20" i="3"/>
  <c r="J19" i="3"/>
  <c r="I19" i="3"/>
  <c r="H19" i="3"/>
  <c r="G19" i="3"/>
  <c r="J18" i="3"/>
  <c r="I18" i="3"/>
  <c r="H18" i="3"/>
  <c r="G18" i="3"/>
  <c r="J17" i="3"/>
  <c r="I17" i="3"/>
  <c r="H17" i="3"/>
  <c r="G17" i="3"/>
  <c r="J16" i="3"/>
  <c r="I16" i="3"/>
  <c r="H16" i="3"/>
  <c r="G16" i="3"/>
  <c r="J15" i="3"/>
  <c r="I15" i="3"/>
  <c r="H15" i="3"/>
  <c r="G15" i="3"/>
  <c r="J14" i="3"/>
  <c r="I14" i="3"/>
  <c r="H14" i="3"/>
  <c r="G14" i="3"/>
  <c r="J13" i="3"/>
  <c r="I13" i="3"/>
  <c r="H13" i="3"/>
  <c r="G13" i="3"/>
  <c r="J12" i="3"/>
  <c r="I12" i="3"/>
  <c r="H12" i="3"/>
  <c r="G12" i="3"/>
  <c r="J11" i="3"/>
  <c r="I11" i="3"/>
  <c r="H11" i="3"/>
  <c r="G11" i="3"/>
  <c r="J10" i="3"/>
  <c r="I10" i="3"/>
  <c r="H10" i="3"/>
  <c r="G10" i="3"/>
  <c r="J9" i="3"/>
  <c r="I9" i="3"/>
  <c r="H9" i="3"/>
  <c r="G9" i="3"/>
  <c r="J8" i="3"/>
  <c r="I8" i="3"/>
  <c r="H8" i="3"/>
  <c r="G8" i="3"/>
  <c r="J7" i="3"/>
  <c r="I7" i="3"/>
  <c r="H7" i="3"/>
  <c r="G7" i="3"/>
  <c r="J6" i="3"/>
  <c r="I6" i="3"/>
  <c r="H6" i="3"/>
  <c r="G6" i="3"/>
  <c r="J5" i="3"/>
  <c r="I5" i="3"/>
  <c r="H5" i="3"/>
  <c r="G5" i="3"/>
  <c r="E3" i="3"/>
  <c r="C27" i="1" s="1"/>
  <c r="B45" i="1" s="1"/>
  <c r="I204" i="2"/>
  <c r="H204" i="2"/>
  <c r="G204" i="2"/>
  <c r="I203" i="2"/>
  <c r="H203" i="2"/>
  <c r="G203" i="2"/>
  <c r="I202" i="2"/>
  <c r="H202" i="2"/>
  <c r="G202" i="2"/>
  <c r="I201" i="2"/>
  <c r="H201" i="2"/>
  <c r="G201" i="2"/>
  <c r="I200" i="2"/>
  <c r="H200" i="2"/>
  <c r="G200" i="2"/>
  <c r="I199" i="2"/>
  <c r="H199" i="2"/>
  <c r="G199" i="2"/>
  <c r="I198" i="2"/>
  <c r="H198" i="2"/>
  <c r="G198" i="2"/>
  <c r="I197" i="2"/>
  <c r="H197" i="2"/>
  <c r="G197" i="2"/>
  <c r="I196" i="2"/>
  <c r="H196" i="2"/>
  <c r="G196" i="2"/>
  <c r="I195" i="2"/>
  <c r="H195" i="2"/>
  <c r="G195" i="2"/>
  <c r="I194" i="2"/>
  <c r="H194" i="2"/>
  <c r="G194" i="2"/>
  <c r="I193" i="2"/>
  <c r="H193" i="2"/>
  <c r="G193" i="2"/>
  <c r="I192" i="2"/>
  <c r="H192" i="2"/>
  <c r="G192" i="2"/>
  <c r="I191" i="2"/>
  <c r="H191" i="2"/>
  <c r="G191" i="2"/>
  <c r="I190" i="2"/>
  <c r="H190" i="2"/>
  <c r="G190" i="2"/>
  <c r="I189" i="2"/>
  <c r="H189" i="2"/>
  <c r="G189" i="2"/>
  <c r="I188" i="2"/>
  <c r="H188" i="2"/>
  <c r="G188" i="2"/>
  <c r="I187" i="2"/>
  <c r="H187" i="2"/>
  <c r="G187" i="2"/>
  <c r="I186" i="2"/>
  <c r="H186" i="2"/>
  <c r="G186" i="2"/>
  <c r="I185" i="2"/>
  <c r="H185" i="2"/>
  <c r="G185" i="2"/>
  <c r="I184" i="2"/>
  <c r="H184" i="2"/>
  <c r="G184" i="2"/>
  <c r="I183" i="2"/>
  <c r="H183" i="2"/>
  <c r="G183" i="2"/>
  <c r="I182" i="2"/>
  <c r="H182" i="2"/>
  <c r="G182" i="2"/>
  <c r="I181" i="2"/>
  <c r="H181" i="2"/>
  <c r="G181" i="2"/>
  <c r="I180" i="2"/>
  <c r="H180" i="2"/>
  <c r="G180" i="2"/>
  <c r="I179" i="2"/>
  <c r="H179" i="2"/>
  <c r="G179" i="2"/>
  <c r="I178" i="2"/>
  <c r="H178" i="2"/>
  <c r="G178" i="2"/>
  <c r="I177" i="2"/>
  <c r="H177" i="2"/>
  <c r="G177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69" i="2"/>
  <c r="H169" i="2"/>
  <c r="G169" i="2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61" i="2"/>
  <c r="H161" i="2"/>
  <c r="G161" i="2"/>
  <c r="I160" i="2"/>
  <c r="H160" i="2"/>
  <c r="G160" i="2"/>
  <c r="I159" i="2"/>
  <c r="H159" i="2"/>
  <c r="G159" i="2"/>
  <c r="I158" i="2"/>
  <c r="H158" i="2"/>
  <c r="G158" i="2"/>
  <c r="I157" i="2"/>
  <c r="H157" i="2"/>
  <c r="G157" i="2"/>
  <c r="I156" i="2"/>
  <c r="H156" i="2"/>
  <c r="G156" i="2"/>
  <c r="I155" i="2"/>
  <c r="H155" i="2"/>
  <c r="G155" i="2"/>
  <c r="I154" i="2"/>
  <c r="H154" i="2"/>
  <c r="G154" i="2"/>
  <c r="I153" i="2"/>
  <c r="H153" i="2"/>
  <c r="G153" i="2"/>
  <c r="I152" i="2"/>
  <c r="H152" i="2"/>
  <c r="G152" i="2"/>
  <c r="I151" i="2"/>
  <c r="H151" i="2"/>
  <c r="G151" i="2"/>
  <c r="I150" i="2"/>
  <c r="H150" i="2"/>
  <c r="G150" i="2"/>
  <c r="I149" i="2"/>
  <c r="H149" i="2"/>
  <c r="G149" i="2"/>
  <c r="I148" i="2"/>
  <c r="H148" i="2"/>
  <c r="G148" i="2"/>
  <c r="I147" i="2"/>
  <c r="H147" i="2"/>
  <c r="G147" i="2"/>
  <c r="I146" i="2"/>
  <c r="H146" i="2"/>
  <c r="G146" i="2"/>
  <c r="I145" i="2"/>
  <c r="H145" i="2"/>
  <c r="G145" i="2"/>
  <c r="I144" i="2"/>
  <c r="H144" i="2"/>
  <c r="G144" i="2"/>
  <c r="I143" i="2"/>
  <c r="H143" i="2"/>
  <c r="G143" i="2"/>
  <c r="I142" i="2"/>
  <c r="H142" i="2"/>
  <c r="G142" i="2"/>
  <c r="I141" i="2"/>
  <c r="H141" i="2"/>
  <c r="G141" i="2"/>
  <c r="I140" i="2"/>
  <c r="H140" i="2"/>
  <c r="G140" i="2"/>
  <c r="I139" i="2"/>
  <c r="H139" i="2"/>
  <c r="G139" i="2"/>
  <c r="I138" i="2"/>
  <c r="H138" i="2"/>
  <c r="G138" i="2"/>
  <c r="I137" i="2"/>
  <c r="H137" i="2"/>
  <c r="G137" i="2"/>
  <c r="I136" i="2"/>
  <c r="H136" i="2"/>
  <c r="G136" i="2"/>
  <c r="I135" i="2"/>
  <c r="H135" i="2"/>
  <c r="G135" i="2"/>
  <c r="I134" i="2"/>
  <c r="H134" i="2"/>
  <c r="G134" i="2"/>
  <c r="I133" i="2"/>
  <c r="H133" i="2"/>
  <c r="G133" i="2"/>
  <c r="I132" i="2"/>
  <c r="H132" i="2"/>
  <c r="G132" i="2"/>
  <c r="I131" i="2"/>
  <c r="H131" i="2"/>
  <c r="G131" i="2"/>
  <c r="I130" i="2"/>
  <c r="H130" i="2"/>
  <c r="G130" i="2"/>
  <c r="I129" i="2"/>
  <c r="H129" i="2"/>
  <c r="G129" i="2"/>
  <c r="I128" i="2"/>
  <c r="H128" i="2"/>
  <c r="G128" i="2"/>
  <c r="I127" i="2"/>
  <c r="H127" i="2"/>
  <c r="G127" i="2"/>
  <c r="I126" i="2"/>
  <c r="H126" i="2"/>
  <c r="G126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I121" i="2"/>
  <c r="H121" i="2"/>
  <c r="G121" i="2"/>
  <c r="I120" i="2"/>
  <c r="H120" i="2"/>
  <c r="G120" i="2"/>
  <c r="I119" i="2"/>
  <c r="H119" i="2"/>
  <c r="G119" i="2"/>
  <c r="I118" i="2"/>
  <c r="H118" i="2"/>
  <c r="G118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I110" i="2"/>
  <c r="H110" i="2"/>
  <c r="G110" i="2"/>
  <c r="I109" i="2"/>
  <c r="H109" i="2"/>
  <c r="G109" i="2"/>
  <c r="I108" i="2"/>
  <c r="H108" i="2"/>
  <c r="G108" i="2"/>
  <c r="I107" i="2"/>
  <c r="H107" i="2"/>
  <c r="G107" i="2"/>
  <c r="I106" i="2"/>
  <c r="H106" i="2"/>
  <c r="G106" i="2"/>
  <c r="I105" i="2"/>
  <c r="H105" i="2"/>
  <c r="G105" i="2"/>
  <c r="I104" i="2"/>
  <c r="H104" i="2"/>
  <c r="G104" i="2"/>
  <c r="I103" i="2"/>
  <c r="H103" i="2"/>
  <c r="G103" i="2"/>
  <c r="I102" i="2"/>
  <c r="H102" i="2"/>
  <c r="G102" i="2"/>
  <c r="I101" i="2"/>
  <c r="H101" i="2"/>
  <c r="G101" i="2"/>
  <c r="I100" i="2"/>
  <c r="H100" i="2"/>
  <c r="G100" i="2"/>
  <c r="I99" i="2"/>
  <c r="H99" i="2"/>
  <c r="G99" i="2"/>
  <c r="I98" i="2"/>
  <c r="H98" i="2"/>
  <c r="G98" i="2"/>
  <c r="I97" i="2"/>
  <c r="H97" i="2"/>
  <c r="G97" i="2"/>
  <c r="I96" i="2"/>
  <c r="H96" i="2"/>
  <c r="G96" i="2"/>
  <c r="I95" i="2"/>
  <c r="H95" i="2"/>
  <c r="G95" i="2"/>
  <c r="I94" i="2"/>
  <c r="H94" i="2"/>
  <c r="G94" i="2"/>
  <c r="I93" i="2"/>
  <c r="H93" i="2"/>
  <c r="G93" i="2"/>
  <c r="I92" i="2"/>
  <c r="H92" i="2"/>
  <c r="G92" i="2"/>
  <c r="I91" i="2"/>
  <c r="H91" i="2"/>
  <c r="G91" i="2"/>
  <c r="I90" i="2"/>
  <c r="H90" i="2"/>
  <c r="G90" i="2"/>
  <c r="I89" i="2"/>
  <c r="H89" i="2"/>
  <c r="G89" i="2"/>
  <c r="I88" i="2"/>
  <c r="H88" i="2"/>
  <c r="G88" i="2"/>
  <c r="I87" i="2"/>
  <c r="H87" i="2"/>
  <c r="G87" i="2"/>
  <c r="I86" i="2"/>
  <c r="H86" i="2"/>
  <c r="G86" i="2"/>
  <c r="I85" i="2"/>
  <c r="H85" i="2"/>
  <c r="G85" i="2"/>
  <c r="I84" i="2"/>
  <c r="H84" i="2"/>
  <c r="G84" i="2"/>
  <c r="I83" i="2"/>
  <c r="H83" i="2"/>
  <c r="G83" i="2"/>
  <c r="I82" i="2"/>
  <c r="H82" i="2"/>
  <c r="G82" i="2"/>
  <c r="I81" i="2"/>
  <c r="H81" i="2"/>
  <c r="G81" i="2"/>
  <c r="I80" i="2"/>
  <c r="H80" i="2"/>
  <c r="G80" i="2"/>
  <c r="I79" i="2"/>
  <c r="H79" i="2"/>
  <c r="G79" i="2"/>
  <c r="I78" i="2"/>
  <c r="H78" i="2"/>
  <c r="G78" i="2"/>
  <c r="I77" i="2"/>
  <c r="H77" i="2"/>
  <c r="G77" i="2"/>
  <c r="I76" i="2"/>
  <c r="H76" i="2"/>
  <c r="G76" i="2"/>
  <c r="I75" i="2"/>
  <c r="H75" i="2"/>
  <c r="G75" i="2"/>
  <c r="I74" i="2"/>
  <c r="H74" i="2"/>
  <c r="G74" i="2"/>
  <c r="I73" i="2"/>
  <c r="H73" i="2"/>
  <c r="G73" i="2"/>
  <c r="I72" i="2"/>
  <c r="H72" i="2"/>
  <c r="G72" i="2"/>
  <c r="I71" i="2"/>
  <c r="H71" i="2"/>
  <c r="G71" i="2"/>
  <c r="I70" i="2"/>
  <c r="H70" i="2"/>
  <c r="G70" i="2"/>
  <c r="I69" i="2"/>
  <c r="H69" i="2"/>
  <c r="G69" i="2"/>
  <c r="I68" i="2"/>
  <c r="H68" i="2"/>
  <c r="G68" i="2"/>
  <c r="I67" i="2"/>
  <c r="H67" i="2"/>
  <c r="G67" i="2"/>
  <c r="I66" i="2"/>
  <c r="H66" i="2"/>
  <c r="G66" i="2"/>
  <c r="I65" i="2"/>
  <c r="H65" i="2"/>
  <c r="G65" i="2"/>
  <c r="I64" i="2"/>
  <c r="H64" i="2"/>
  <c r="G64" i="2"/>
  <c r="I63" i="2"/>
  <c r="H63" i="2"/>
  <c r="G63" i="2"/>
  <c r="I62" i="2"/>
  <c r="H62" i="2"/>
  <c r="G62" i="2"/>
  <c r="I61" i="2"/>
  <c r="H61" i="2"/>
  <c r="G61" i="2"/>
  <c r="I60" i="2"/>
  <c r="H60" i="2"/>
  <c r="G60" i="2"/>
  <c r="I59" i="2"/>
  <c r="H59" i="2"/>
  <c r="G59" i="2"/>
  <c r="I58" i="2"/>
  <c r="H58" i="2"/>
  <c r="G58" i="2"/>
  <c r="I57" i="2"/>
  <c r="H57" i="2"/>
  <c r="G57" i="2"/>
  <c r="I56" i="2"/>
  <c r="H56" i="2"/>
  <c r="G56" i="2"/>
  <c r="I55" i="2"/>
  <c r="H55" i="2"/>
  <c r="G55" i="2"/>
  <c r="I54" i="2"/>
  <c r="H54" i="2"/>
  <c r="G54" i="2"/>
  <c r="I53" i="2"/>
  <c r="H53" i="2"/>
  <c r="G53" i="2"/>
  <c r="I52" i="2"/>
  <c r="H52" i="2"/>
  <c r="G52" i="2"/>
  <c r="I51" i="2"/>
  <c r="H51" i="2"/>
  <c r="G51" i="2"/>
  <c r="I50" i="2"/>
  <c r="H50" i="2"/>
  <c r="G50" i="2"/>
  <c r="I49" i="2"/>
  <c r="H49" i="2"/>
  <c r="G49" i="2"/>
  <c r="I48" i="2"/>
  <c r="H48" i="2"/>
  <c r="G48" i="2"/>
  <c r="I47" i="2"/>
  <c r="H47" i="2"/>
  <c r="G47" i="2"/>
  <c r="I46" i="2"/>
  <c r="H46" i="2"/>
  <c r="G46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I35" i="2"/>
  <c r="H35" i="2"/>
  <c r="G35" i="2"/>
  <c r="I34" i="2"/>
  <c r="H34" i="2"/>
  <c r="G34" i="2"/>
  <c r="I33" i="2"/>
  <c r="H33" i="2"/>
  <c r="G33" i="2"/>
  <c r="I32" i="2"/>
  <c r="H32" i="2"/>
  <c r="G32" i="2"/>
  <c r="I31" i="2"/>
  <c r="H31" i="2"/>
  <c r="G31" i="2"/>
  <c r="I30" i="2"/>
  <c r="H30" i="2"/>
  <c r="G30" i="2"/>
  <c r="I29" i="2"/>
  <c r="H29" i="2"/>
  <c r="G29" i="2"/>
  <c r="I28" i="2"/>
  <c r="H28" i="2"/>
  <c r="G28" i="2"/>
  <c r="I27" i="2"/>
  <c r="H27" i="2"/>
  <c r="G27" i="2"/>
  <c r="I26" i="2"/>
  <c r="H26" i="2"/>
  <c r="G26" i="2"/>
  <c r="I25" i="2"/>
  <c r="H25" i="2"/>
  <c r="G25" i="2"/>
  <c r="I24" i="2"/>
  <c r="H24" i="2"/>
  <c r="G24" i="2"/>
  <c r="I23" i="2"/>
  <c r="H23" i="2"/>
  <c r="G23" i="2"/>
  <c r="I22" i="2"/>
  <c r="H22" i="2"/>
  <c r="G22" i="2"/>
  <c r="I21" i="2"/>
  <c r="H21" i="2"/>
  <c r="G21" i="2"/>
  <c r="I20" i="2"/>
  <c r="H20" i="2"/>
  <c r="G20" i="2"/>
  <c r="I19" i="2"/>
  <c r="H19" i="2"/>
  <c r="G19" i="2"/>
  <c r="I18" i="2"/>
  <c r="H18" i="2"/>
  <c r="G18" i="2"/>
  <c r="I17" i="2"/>
  <c r="H17" i="2"/>
  <c r="G17" i="2"/>
  <c r="I16" i="2"/>
  <c r="H16" i="2"/>
  <c r="G16" i="2"/>
  <c r="I15" i="2"/>
  <c r="H15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G5" i="2"/>
  <c r="H5" i="2" s="1"/>
  <c r="E3" i="2"/>
  <c r="C26" i="1" s="1"/>
  <c r="B44" i="1" s="1"/>
  <c r="B47" i="1"/>
  <c r="B46" i="1"/>
  <c r="B40" i="1"/>
  <c r="C9" i="4" l="1"/>
  <c r="H3" i="3"/>
  <c r="G3" i="3"/>
  <c r="C24" i="1" s="1"/>
  <c r="B42" i="1" s="1"/>
  <c r="G3" i="2"/>
  <c r="C7" i="4" s="1"/>
  <c r="H3" i="2"/>
  <c r="C4" i="4" s="1"/>
  <c r="C6" i="4" s="1"/>
  <c r="C21" i="1" l="1"/>
  <c r="C23" i="1" s="1"/>
  <c r="C34" i="1" s="1"/>
  <c r="C8" i="4"/>
  <c r="B39" i="1" l="1"/>
  <c r="C32" i="1"/>
  <c r="B41" i="1"/>
  <c r="C25" i="1"/>
  <c r="B49" i="1" s="1"/>
  <c r="B43" i="1" l="1"/>
  <c r="C33" i="1"/>
  <c r="C35" i="1"/>
</calcChain>
</file>

<file path=xl/sharedStrings.xml><?xml version="1.0" encoding="utf-8"?>
<sst xmlns="http://schemas.openxmlformats.org/spreadsheetml/2006/main" count="281" uniqueCount="243">
  <si>
    <t>VATflow  |  UK VAT Return</t>
  </si>
  <si>
    <t>Making Tax Digital  ·  All Schemes  ·  Change scheme below to auto-update all calculations</t>
  </si>
  <si>
    <t xml:space="preserve">  A  ·  BUSINESS INFORMATION</t>
  </si>
  <si>
    <t>Business / Trading Name</t>
  </si>
  <si>
    <t>VAT Registration Number (VRN)</t>
  </si>
  <si>
    <t>Company Registration Number</t>
  </si>
  <si>
    <t>Registered Address</t>
  </si>
  <si>
    <t>Contact Email</t>
  </si>
  <si>
    <t>VAT Period Start</t>
  </si>
  <si>
    <t>VAT Period End</t>
  </si>
  <si>
    <t>Submission Due Date</t>
  </si>
  <si>
    <t xml:space="preserve">  B  ·  VAT ACCOUNTING SCHEME  —  Select below to auto-update all calculations</t>
  </si>
  <si>
    <t>VAT Accounting Scheme</t>
  </si>
  <si>
    <t>Standard (Invoice Basis)</t>
  </si>
  <si>
    <t>Flat Rate % (FRS only — e.g. enter 0.165 for 16.5%)</t>
  </si>
  <si>
    <t xml:space="preserve">  C  ·  9-BOX VAT RETURN  (auto-calculated from Sales &amp; Expenses  ·  do not override green cells)</t>
  </si>
  <si>
    <t>Box</t>
  </si>
  <si>
    <t>Description</t>
  </si>
  <si>
    <t>Amount (£)</t>
  </si>
  <si>
    <t>Scheme Rule</t>
  </si>
  <si>
    <t>1</t>
  </si>
  <si>
    <t>VAT due on sales and other outputs</t>
  </si>
  <si>
    <t>FRS: Gross × FRS%.  Standard/Cash/Annual/Retail: Sum of VAT column from Sales.</t>
  </si>
  <si>
    <t>vatDueSales</t>
  </si>
  <si>
    <t>2</t>
  </si>
  <si>
    <t>⌨ VAT on EC acquisitions (NI Windsor Framework only)</t>
  </si>
  <si>
    <t>Usually £0. If NI Windsor Framework trader, override this cell with your EC acquisition VAT.</t>
  </si>
  <si>
    <t>vatDueAcquisitions</t>
  </si>
  <si>
    <t>3</t>
  </si>
  <si>
    <t>Total VAT due  [AUTO = Box 1 + Box 2]</t>
  </si>
  <si>
    <t>AUTO — do not override.</t>
  </si>
  <si>
    <t>totalVatDue</t>
  </si>
  <si>
    <t>4</t>
  </si>
  <si>
    <t>VAT reclaimed on purchases and inputs</t>
  </si>
  <si>
    <t>FRS: £0 normally (Capital Goods ≥£2k exception).  Standard/Cash: all purchase VAT.</t>
  </si>
  <si>
    <t>vatReclaimedCurrPeriod</t>
  </si>
  <si>
    <t>5</t>
  </si>
  <si>
    <t>Net VAT payable / reclaimable  [AUTO = Box 3 − Box 4]</t>
  </si>
  <si>
    <t>AUTO — Positive = you owe HMRC.  Negative = HMRC repays you.</t>
  </si>
  <si>
    <t>netVatDue</t>
  </si>
  <si>
    <t>6</t>
  </si>
  <si>
    <t>Total value of sales and outputs, excluding VAT</t>
  </si>
  <si>
    <t>Net sales total from Sales sheet.</t>
  </si>
  <si>
    <t>totalValueSalesExVAT</t>
  </si>
  <si>
    <t>7</t>
  </si>
  <si>
    <t>Total value of purchases and inputs, excluding VAT</t>
  </si>
  <si>
    <t>Net purchases total — ALL purchases regardless of VAT reclaim status.</t>
  </si>
  <si>
    <t>totalValuePurchasesExVAT</t>
  </si>
  <si>
    <t>8</t>
  </si>
  <si>
    <t>⌨ Goods supplied to EC member states, excl. VAT</t>
  </si>
  <si>
    <t>Post-Brexit: usually £0 for UK mainland. Override if applicable.</t>
  </si>
  <si>
    <t>totalValueGoodsSuppliedExVAT</t>
  </si>
  <si>
    <t>9</t>
  </si>
  <si>
    <t>⌨ Total acquisitions from EC member states, excl. VAT</t>
  </si>
  <si>
    <t>Usually £0. NI Windsor Framework traders: enter goods acquired from EU (excl. VAT).</t>
  </si>
  <si>
    <t>totalAcquisitionsExVAT</t>
  </si>
  <si>
    <t xml:space="preserve">  D  ·  SUBMISSION VALIDATION  (all must show ✓ PASS before uploading to VATflow)</t>
  </si>
  <si>
    <t>Box 3 = Box 1 + Box 2</t>
  </si>
  <si>
    <t>Box 5 = Box 3 − Box 4</t>
  </si>
  <si>
    <t>All boxes ≥ 0</t>
  </si>
  <si>
    <t>Net VAT non-zero</t>
  </si>
  <si>
    <t xml:space="preserve">  E  ·  HMRC MTD API VALUES  (VATflow reads these cells — do not edit row 37 onwards)</t>
  </si>
  <si>
    <t>HMRC API Field</t>
  </si>
  <si>
    <t>Value</t>
  </si>
  <si>
    <t>Box 1</t>
  </si>
  <si>
    <t>Box 2</t>
  </si>
  <si>
    <t>Box 3</t>
  </si>
  <si>
    <t>Box 4</t>
  </si>
  <si>
    <t>Box 5 — Net VAT payable</t>
  </si>
  <si>
    <t>Box 6</t>
  </si>
  <si>
    <t>Box 7</t>
  </si>
  <si>
    <t>Box 8</t>
  </si>
  <si>
    <t>Box 9</t>
  </si>
  <si>
    <t>JSON Preview</t>
  </si>
  <si>
    <t xml:space="preserve">  COLOUR KEY</t>
  </si>
  <si>
    <t>⌨ prefix = editable override (e.g. NI traders)</t>
  </si>
  <si>
    <t>VATflow  ·  United Fintec Limited  ·  contact@unitedfintec.com  ·  unitedfintec.com  ·  © 2025 United Fintec Limited</t>
  </si>
  <si>
    <t>SALES REGISTER  —  VATflow</t>
  </si>
  <si>
    <t>Enter net amount (col E) and VAT rate (col F) for each invoice · VAT and Gross auto-calculate</t>
  </si>
  <si>
    <t>TOTALS</t>
  </si>
  <si>
    <t>#</t>
  </si>
  <si>
    <t>Invoice No.</t>
  </si>
  <si>
    <t>Customer / Client Name</t>
  </si>
  <si>
    <t>Invoice Date</t>
  </si>
  <si>
    <t>Net Amount £
(Enter here)</t>
  </si>
  <si>
    <t>VAT Rate
(0 / 0.05 / 0.2)</t>
  </si>
  <si>
    <t>VAT Amount £
(Auto)</t>
  </si>
  <si>
    <t>Gross Total £
(Auto)</t>
  </si>
  <si>
    <t>Validation</t>
  </si>
  <si>
    <t>VATflow  ·  United Fintec Limited  ·  contact@unitedfintec.com  ·  © 2025</t>
  </si>
  <si>
    <t>EXPENSES &amp; PURCHASES REGISTER  —  VATflow</t>
  </si>
  <si>
    <t>⚠  FRS traders: VAT not reclaimable (Box 4 = £0) except capital goods ≥ £2,000 incl. VAT — select 'Capital Goods FRS' in col I.  Standard/Cash: select 'Claimable'.</t>
  </si>
  <si>
    <t>Receipt/Inv No.</t>
  </si>
  <si>
    <t>Supplier Name</t>
  </si>
  <si>
    <t>Purchase Date</t>
  </si>
  <si>
    <t>Reclaim Type
(Auto from scheme)</t>
  </si>
  <si>
    <t>FLAT RATE SCHEME (FRS) CALCULATOR  —  HMRC VAT Notice 733</t>
  </si>
  <si>
    <t xml:space="preserve">  FRS CALCULATION</t>
  </si>
  <si>
    <t>Gross Sales Total (incl. VAT) — from Sales sheet</t>
  </si>
  <si>
    <t>FRS % — from VAT Return sheet</t>
  </si>
  <si>
    <t>VAT Payable (Box 1) = Gross × FRS%</t>
  </si>
  <si>
    <t>VAT Charged to Customers (20% standard)</t>
  </si>
  <si>
    <t>FRS Saving vs Standard Rate</t>
  </si>
  <si>
    <t>Net Sales (excl. VAT) — from Sales sheet</t>
  </si>
  <si>
    <t xml:space="preserve">  HMRC FRS SECTOR RATES (2025)</t>
  </si>
  <si>
    <t>Business Sector</t>
  </si>
  <si>
    <t>FRS Rate</t>
  </si>
  <si>
    <t>Limited Cost Trader</t>
  </si>
  <si>
    <t>Notes</t>
  </si>
  <si>
    <t>Accountancy / bookkeeping</t>
  </si>
  <si>
    <t>14.5%</t>
  </si>
  <si>
    <t>16.5%</t>
  </si>
  <si>
    <t>Goods &lt; 2% turnover</t>
  </si>
  <si>
    <t>IT &amp; computer services</t>
  </si>
  <si>
    <t>Management consultancy</t>
  </si>
  <si>
    <t>14.0%</t>
  </si>
  <si>
    <t>Financial services</t>
  </si>
  <si>
    <t>13.5%</t>
  </si>
  <si>
    <t>Legal services</t>
  </si>
  <si>
    <t>Business services (general)</t>
  </si>
  <si>
    <t>12.0%</t>
  </si>
  <si>
    <t>Catering / takeaway</t>
  </si>
  <si>
    <t>12.5%</t>
  </si>
  <si>
    <t>Includes hot food</t>
  </si>
  <si>
    <t>Retail — general</t>
  </si>
  <si>
    <t>7.5%</t>
  </si>
  <si>
    <t>Mixed goods</t>
  </si>
  <si>
    <t>Transport &amp; logistics</t>
  </si>
  <si>
    <t>10.0%</t>
  </si>
  <si>
    <t>Road haulage</t>
  </si>
  <si>
    <t>Healthcare</t>
  </si>
  <si>
    <t>Registered practitioners</t>
  </si>
  <si>
    <t>Property letting</t>
  </si>
  <si>
    <t>8.5%</t>
  </si>
  <si>
    <t>VAT-registered lettings</t>
  </si>
  <si>
    <t>Recruitment / labour</t>
  </si>
  <si>
    <t>Staff supply</t>
  </si>
  <si>
    <t>Training / education</t>
  </si>
  <si>
    <t>VAT-registered bodies</t>
  </si>
  <si>
    <t>Construction</t>
  </si>
  <si>
    <t>9.5%</t>
  </si>
  <si>
    <t>General building</t>
  </si>
  <si>
    <t>Hotel / accommodation</t>
  </si>
  <si>
    <t>10.5%</t>
  </si>
  <si>
    <t>Room only</t>
  </si>
  <si>
    <t>USER GUIDE  —  VATflow Excel Template</t>
  </si>
  <si>
    <t>STEP 1</t>
  </si>
  <si>
    <t>OPEN THE 'VAT RETURN' TAB — ENTER BUSINESS DETAILS</t>
  </si>
  <si>
    <t>Business Name (row 6)</t>
  </si>
  <si>
    <t>Enter your business or trading name</t>
  </si>
  <si>
    <t>VRN (row 7)</t>
  </si>
  <si>
    <t>Your 9-digit VAT Registration Number (GB prefix not needed)</t>
  </si>
  <si>
    <t>Period dates (rows 11-13)</t>
  </si>
  <si>
    <t>Period Start, Period End, Submission Due Date (DD/MM/YYYY)</t>
  </si>
  <si>
    <t>VAT Scheme (row 16)</t>
  </si>
  <si>
    <t>▶ Select from dropdown — this auto-updates ALL calculations in the workbook</t>
  </si>
  <si>
    <t>→ Standard</t>
  </si>
  <si>
    <t>Full VAT on every invoice. Box 1 = VAT total. Box 4 = all purchase VAT.</t>
  </si>
  <si>
    <t>→ Cash Accounting</t>
  </si>
  <si>
    <t>VAT recorded when payment received/made (not when invoiced).</t>
  </si>
  <si>
    <t>→ Flat Rate Scheme</t>
  </si>
  <si>
    <t>Box 1 = Gross × FRS%. VAT col = £0 (correct). Box 4 = £0.</t>
  </si>
  <si>
    <t>→ Annual Accounting</t>
  </si>
  <si>
    <t>One return per year. Same calculation as Standard.</t>
  </si>
  <si>
    <t>→ Retail Scheme</t>
  </si>
  <si>
    <t>Uses Daily Gross Takings method. Same data entry as Standard.</t>
  </si>
  <si>
    <t>FRS % (row 17)</t>
  </si>
  <si>
    <t>If Flat Rate Scheme: enter decimal e.g. 0.165 = 16.5%. See FRS_Calculator tab.</t>
  </si>
  <si>
    <t>STEP 2</t>
  </si>
  <si>
    <t>ENTER SALES ON THE 'SALES' TAB</t>
  </si>
  <si>
    <t>Col E — Net Amount</t>
  </si>
  <si>
    <t>▶ Enter NET amount excluding VAT. Only column you need to type.</t>
  </si>
  <si>
    <t>Col F — VAT Rate</t>
  </si>
  <si>
    <t>Select from dropdown: 0 = Zero rated  |  0.05 = 5%  |  0.2 = 20%</t>
  </si>
  <si>
    <t>Col G — VAT Amount</t>
  </si>
  <si>
    <t>AUTO. Shows £0 for FRS scheme — this is correct (FRS uses Gross × rate not line VAT).</t>
  </si>
  <si>
    <t>Col H — Gross Total</t>
  </si>
  <si>
    <t>AUTO. = Net + VAT.</t>
  </si>
  <si>
    <t>FRS note</t>
  </si>
  <si>
    <t>Under FRS, Box 1 uses the Gross Total (col H) × FRS%. The Sales Gross total feeds Box 1.</t>
  </si>
  <si>
    <t>STEP 3</t>
  </si>
  <si>
    <t>ENTER PURCHASES ON THE 'EXPENSES' TAB</t>
  </si>
  <si>
    <t>Enter NET purchase amount excluding VAT</t>
  </si>
  <si>
    <t>Select: 0, 0.05, or 0.2</t>
  </si>
  <si>
    <t>Col I — Reclaim Type</t>
  </si>
  <si>
    <t>▶ AUTO-SETS when you change scheme. Override per row if needed.</t>
  </si>
  <si>
    <t>→ Claimable</t>
  </si>
  <si>
    <t>Standard/Cash/Annual/Retail: default. VAT counted in Box 4.</t>
  </si>
  <si>
    <t>→ Not Claimable (FRS)</t>
  </si>
  <si>
    <t>FRS default. VAT = £0 in Box 4.</t>
  </si>
  <si>
    <t>→ Capital Goods FRS</t>
  </si>
  <si>
    <t>FRS exception: single item ≥ £2,000 incl. VAT. VAT IS claimable.</t>
  </si>
  <si>
    <t>→ Blocked Input</t>
  </si>
  <si>
    <t>Entertainment, non-business etc. Not reclaimable under any scheme.</t>
  </si>
  <si>
    <t>STEP 4</t>
  </si>
  <si>
    <t>CHECK THE 9-BOX RETURN (also on 'VAT Return' tab)</t>
  </si>
  <si>
    <t>All boxes auto-populate</t>
  </si>
  <si>
    <t>Boxes 1–9 calculate from Sales and Expenses. No manual entry needed.</t>
  </si>
  <si>
    <t>Box 2, 8, 9 — editable</t>
  </si>
  <si>
    <t>Marked ⌨ — mainland UK = £0. Northern Ireland Windsor Framework traders: override these.</t>
  </si>
  <si>
    <t>Validation checks</t>
  </si>
  <si>
    <t>Scroll to Section D — all 4 must show ✓ PASS before uploading to VATflow.</t>
  </si>
  <si>
    <t>Box 5</t>
  </si>
  <si>
    <t>NET VAT PAYABLE. Positive = you owe HMRC. Negative = HMRC repays you.</t>
  </si>
  <si>
    <t>STEP 5</t>
  </si>
  <si>
    <t>UPLOAD TO VATFLOW PORTAL</t>
  </si>
  <si>
    <t>Which sheet?</t>
  </si>
  <si>
    <t>▶ VATflow reads the 'VAT Return' sheet. Upload the complete .xlsx file.</t>
  </si>
  <si>
    <t>Cells read</t>
  </si>
  <si>
    <t>The portal reads rows 39–47 (HMRC API field values) plus business info at B6,B7,B16,B17.</t>
  </si>
  <si>
    <t>Process</t>
  </si>
  <si>
    <t>Save .xlsx → vatflow.co.uk → Excel Template → Upload → Preview 9 boxes → Apply → Validate → Submit</t>
  </si>
  <si>
    <t>Digital link</t>
  </si>
  <si>
    <t>Uploading this file maintains the MTD digital link required by HMRC (SI 2018/261). Never retype values manually.</t>
  </si>
  <si>
    <t xml:space="preserve">  BOX 7 vs BOX 9 — WHAT IS THE DIFFERENCE?</t>
  </si>
  <si>
    <t>total value of all purchases excl. vat. every purchase regardless of vat reclaim status. source: expenses col e total.</t>
  </si>
  <si>
    <t>goods acquired from eu member states (northern ireland windsor framework only). mainland uk = £0 always.</t>
  </si>
  <si>
    <t>Key distinction</t>
  </si>
  <si>
    <t>Box 7 = WHAT you bought (all UK spending). Box 9 = WHERE from (EU imports, NI only). Completely different.</t>
  </si>
  <si>
    <t>Box 7 ≠ Box 4</t>
  </si>
  <si>
    <t>Box 4 = VAT element of CLAIMABLE purchases only. Box 7 = NET value of ALL purchases. Box 7 always ≥ Box 4÷rate.</t>
  </si>
  <si>
    <t xml:space="preserve">  BOXES 2, 8, 9 — EDITABLE OVERRIDE (marked ⌨)</t>
  </si>
  <si>
    <t>Default</t>
  </si>
  <si>
    <t>All three default to £0 (correct for mainland UK post-Brexit).</t>
  </si>
  <si>
    <t>Who overrides?</t>
  </si>
  <si>
    <t>Northern Ireland businesses under Windsor Framework for Box 2 and Box 9. UK exporters with EU goods dispatches for Box 8.</t>
  </si>
  <si>
    <t>How</t>
  </si>
  <si>
    <t>Click the ⌨-marked cell on the VAT Return tab and type your value directly.</t>
  </si>
  <si>
    <t xml:space="preserve">  FAQs</t>
  </si>
  <si>
    <t>Q: VAT col shows £0 on FRS — is that correct?</t>
  </si>
  <si>
    <t>A: Yes. FRS does not calculate VAT line-by-line. Box 1 = Gross × FRS%. The £0 in col G is correct and prevents double-counting.</t>
  </si>
  <si>
    <t>Q: Box 4 = £0 on FRS — correct?</t>
  </si>
  <si>
    <t>A: Yes. FRS traders cannot reclaim input VAT. Exception: capital goods ≥ £2,000 incl. VAT — mark as 'Capital Goods FRS' in Expenses col I.</t>
  </si>
  <si>
    <t>Q: Where did Dashboard and MTD_Export go?</t>
  </si>
  <si>
    <t>A: Merged into the 'VAT Return' tab. Section E contains HMRC API fields. The thin 'Dashboard' tab exists for compatibility only.</t>
  </si>
  <si>
    <t>Q: What is a Limited Cost Trader?</t>
  </si>
  <si>
    <t>A: FRS: if goods &lt; 2% of turnover OR &lt; £1,000/year, you must use 16.5% rate. See FRS_Calculator tab.</t>
  </si>
  <si>
    <t>Q: Record keeping</t>
  </si>
  <si>
    <t>A: Keep 6 years (HMRC MTD SI 2018/261). This file IS your digital record. Save each return period as a separate file.</t>
  </si>
  <si>
    <t>VATflow by United Fintec Limited  ·  contact@unitedfintec.com  ·  unitedfintec.com  ·  © 2025</t>
  </si>
  <si>
    <t>Yellow background = input cell — you enter data here</t>
  </si>
  <si>
    <t>Grey background = cross-sheet formula link</t>
  </si>
  <si>
    <t>Yellow = enter data  ·  GREEN/Grey = auto-calculated  ·  ⌨ = editable override for special cases  ·  Change scheme on 'VAT Return' tab to update all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</si>
</sst>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£#,##0.00;[Red]&quot;(£&quot;#,##0.00\);\-"/>
  </numFmts>
  <fonts count="39" x14ac:knownFonts="1">
    <font>
      <sz val="11"/>
      <color theme="1"/>
      <name val="Calibri"/>
      <family val="2"/>
      <charset val="1"/>
    </font>
    <font>
      <b/>
      <sz val="22"/>
      <color rgb="FFFFFFFF"/>
      <name val="Calibri"/>
      <family val="2"/>
    </font>
    <font>
      <i/>
      <sz val="10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1B3D6E"/>
      <name val="Calibri"/>
      <family val="2"/>
    </font>
    <font>
      <sz val="10"/>
      <color rgb="FF0000FF"/>
      <name val="Calibri"/>
      <family val="2"/>
    </font>
    <font>
      <b/>
      <sz val="11"/>
      <color rgb="FF0000FF"/>
      <name val="Calibri"/>
      <family val="2"/>
    </font>
    <font>
      <sz val="10"/>
      <color rgb="FF1B3D6E"/>
      <name val="Calibri"/>
      <family val="2"/>
    </font>
    <font>
      <b/>
      <sz val="10"/>
      <color rgb="FFE8951A"/>
      <name val="Calibri"/>
      <family val="2"/>
    </font>
    <font>
      <b/>
      <sz val="11"/>
      <color rgb="FFFFFFFF"/>
      <name val="Calibri"/>
      <family val="2"/>
    </font>
    <font>
      <i/>
      <sz val="9"/>
      <color rgb="FF555555"/>
      <name val="Calibri"/>
      <family val="2"/>
    </font>
    <font>
      <i/>
      <sz val="9"/>
      <color rgb="FF777777"/>
      <name val="Calibri"/>
      <family val="2"/>
    </font>
    <font>
      <b/>
      <sz val="11"/>
      <color rgb="FFE8951A"/>
      <name val="Calibri"/>
      <family val="2"/>
    </font>
    <font>
      <b/>
      <sz val="10"/>
      <color rgb="FF000000"/>
      <name val="Calibri"/>
      <family val="2"/>
    </font>
    <font>
      <b/>
      <sz val="10"/>
      <color rgb="FF1A7A5E"/>
      <name val="Calibri"/>
      <family val="2"/>
    </font>
    <font>
      <b/>
      <sz val="11"/>
      <color rgb="FF1A7A5E"/>
      <name val="Calibri"/>
      <family val="2"/>
    </font>
    <font>
      <b/>
      <sz val="10"/>
      <color rgb="FF1B3D6E"/>
      <name val="Calibri"/>
      <family val="2"/>
      <charset val="1"/>
    </font>
    <font>
      <b/>
      <sz val="9"/>
      <color rgb="FFE8951A"/>
      <name val="Calibri"/>
      <family val="2"/>
    </font>
    <font>
      <sz val="9"/>
      <color rgb="FF1B3D6E"/>
      <name val="Courier New"/>
      <family val="3"/>
    </font>
    <font>
      <sz val="9"/>
      <color rgb="FF1B3D6E"/>
      <name val="Calibri"/>
      <family val="2"/>
    </font>
    <font>
      <sz val="9"/>
      <color rgb="FF1A7A5E"/>
      <name val="Calibri"/>
      <family val="2"/>
    </font>
    <font>
      <sz val="9"/>
      <color rgb="FF8B4500"/>
      <name val="Calibri"/>
      <family val="2"/>
    </font>
    <font>
      <i/>
      <sz val="9"/>
      <color rgb="FFAABBCC"/>
      <name val="Calibri"/>
      <family val="2"/>
    </font>
    <font>
      <b/>
      <sz val="14"/>
      <color rgb="FFFFFFFF"/>
      <name val="Calibri"/>
      <family val="2"/>
    </font>
    <font>
      <i/>
      <sz val="9"/>
      <color rgb="FF1B3D6E"/>
      <name val="Calibri"/>
      <family val="2"/>
    </font>
    <font>
      <sz val="8"/>
      <color rgb="FF999999"/>
      <name val="Calibri"/>
      <family val="2"/>
    </font>
    <font>
      <sz val="9"/>
      <color rgb="FF0000FF"/>
      <name val="Calibri"/>
      <family val="2"/>
    </font>
    <font>
      <b/>
      <sz val="9"/>
      <color rgb="FF000000"/>
      <name val="Calibri"/>
      <family val="2"/>
    </font>
    <font>
      <i/>
      <sz val="9"/>
      <color rgb="FF8B4500"/>
      <name val="Calibri"/>
      <family val="2"/>
    </font>
    <font>
      <sz val="10"/>
      <color rgb="FF008000"/>
      <name val="Calibri"/>
      <family val="2"/>
    </font>
    <font>
      <b/>
      <sz val="16"/>
      <color rgb="FFFFFFFF"/>
      <name val="Calibri"/>
      <family val="2"/>
    </font>
    <font>
      <i/>
      <sz val="9"/>
      <color rgb="FFFFFFFF"/>
      <name val="Calibri"/>
      <family val="2"/>
    </font>
    <font>
      <b/>
      <sz val="9"/>
      <color rgb="FF1B3D6E"/>
      <name val="Calibri"/>
      <family val="2"/>
    </font>
    <font>
      <b/>
      <sz val="9"/>
      <color rgb="FFFFFFFF"/>
      <name val="Calibri"/>
      <family val="2"/>
    </font>
    <font>
      <b/>
      <sz val="10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b/>
      <sz val="9"/>
      <color theme="0" tint="-0.499984740745262"/>
      <name val="Calibri"/>
      <family val="2"/>
    </font>
    <font>
      <b/>
      <sz val="9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B3D6E"/>
        <bgColor rgb="FF0F2447"/>
      </patternFill>
    </fill>
    <fill>
      <patternFill patternType="solid">
        <fgColor rgb="FFE8951A"/>
        <bgColor rgb="FFFF6600"/>
      </patternFill>
    </fill>
    <fill>
      <patternFill patternType="solid">
        <fgColor rgb="FF0F2447"/>
        <bgColor rgb="FF1B3D6E"/>
      </patternFill>
    </fill>
    <fill>
      <patternFill patternType="solid">
        <fgColor rgb="FFF4F6FA"/>
        <bgColor rgb="FFEEF1F7"/>
      </patternFill>
    </fill>
    <fill>
      <patternFill patternType="solid">
        <fgColor rgb="FFFFF3DC"/>
        <bgColor rgb="FFFFF8E1"/>
      </patternFill>
    </fill>
    <fill>
      <patternFill patternType="solid">
        <fgColor rgb="FFFFFFFF"/>
        <bgColor rgb="FFF4F6FA"/>
      </patternFill>
    </fill>
    <fill>
      <patternFill patternType="solid">
        <fgColor rgb="FFEEF1F7"/>
        <bgColor rgb="FFF4F6FA"/>
      </patternFill>
    </fill>
    <fill>
      <patternFill patternType="solid">
        <fgColor rgb="FF1A7A5E"/>
        <bgColor rgb="FF008080"/>
      </patternFill>
    </fill>
    <fill>
      <patternFill patternType="solid">
        <fgColor rgb="FFE6F5F1"/>
        <bgColor rgb="FFEEF1F7"/>
      </patternFill>
    </fill>
    <fill>
      <patternFill patternType="solid">
        <fgColor rgb="FFDDE2EC"/>
        <bgColor rgb="FFEEF1F7"/>
      </patternFill>
    </fill>
    <fill>
      <patternFill patternType="solid">
        <fgColor rgb="FFFFF8E1"/>
        <bgColor rgb="FFFFF3DC"/>
      </patternFill>
    </fill>
    <fill>
      <patternFill patternType="solid">
        <fgColor theme="0" tint="-0.249977111117893"/>
        <bgColor rgb="FFFFF8E1"/>
      </patternFill>
    </fill>
    <fill>
      <patternFill patternType="solid">
        <fgColor theme="0" tint="-0.249977111117893"/>
        <bgColor rgb="FFEEF1F7"/>
      </patternFill>
    </fill>
    <fill>
      <patternFill patternType="solid">
        <fgColor theme="0" tint="-0.249977111117893"/>
        <bgColor rgb="FFF4F6FA"/>
      </patternFill>
    </fill>
  </fills>
  <borders count="6">
    <border>
      <left/>
      <right/>
      <top/>
      <bottom/>
      <diagonal/>
    </border>
    <border>
      <left style="thin">
        <color rgb="FFDDE2EC"/>
      </left>
      <right/>
      <top style="thin">
        <color rgb="FFDDE2EC"/>
      </top>
      <bottom style="thin">
        <color rgb="FFDDE2EC"/>
      </bottom>
      <diagonal/>
    </border>
    <border>
      <left style="thin">
        <color rgb="FFDDE2EC"/>
      </left>
      <right style="thin">
        <color rgb="FFDDE2EC"/>
      </right>
      <top style="thin">
        <color rgb="FFDDE2EC"/>
      </top>
      <bottom style="thin">
        <color rgb="FFDDE2EC"/>
      </bottom>
      <diagonal/>
    </border>
    <border>
      <left/>
      <right/>
      <top style="thin">
        <color rgb="FFDDE2EC"/>
      </top>
      <bottom/>
      <diagonal/>
    </border>
    <border>
      <left/>
      <right/>
      <top style="thin">
        <color rgb="FFDDE2EC"/>
      </top>
      <bottom style="thin">
        <color rgb="FFDDE2EC"/>
      </bottom>
      <diagonal/>
    </border>
    <border>
      <left style="thin">
        <color rgb="FFDDE2EC"/>
      </left>
      <right/>
      <top style="thin">
        <color rgb="FFDDE2EC"/>
      </top>
      <bottom/>
      <diagonal/>
    </border>
  </borders>
  <cellStyleXfs count="1">
    <xf numFmtId="0" fontId="0" fillId="0" borderId="0"/>
  </cellStyleXfs>
  <cellXfs count="89">
    <xf numFmtId="0" fontId="0" fillId="0" borderId="0" xfId="0" applyAlignment="1"/>
    <xf numFmtId="0" fontId="0" fillId="0" borderId="0" xfId="0" applyAlignment="1"/>
    <xf numFmtId="0" fontId="4" fillId="5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 wrapText="1"/>
    </xf>
    <xf numFmtId="165" fontId="5" fillId="6" borderId="2" xfId="0" applyNumberFormat="1" applyFont="1" applyFill="1" applyBorder="1" applyAlignment="1">
      <alignment horizontal="right" vertical="center"/>
    </xf>
    <xf numFmtId="0" fontId="12" fillId="4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left" vertical="center" wrapText="1"/>
    </xf>
    <xf numFmtId="165" fontId="15" fillId="10" borderId="2" xfId="0" applyNumberFormat="1" applyFont="1" applyFill="1" applyBorder="1" applyAlignment="1">
      <alignment horizontal="right" vertical="center"/>
    </xf>
    <xf numFmtId="0" fontId="16" fillId="5" borderId="2" xfId="0" applyFont="1" applyFill="1" applyBorder="1" applyAlignment="1">
      <alignment horizontal="left" vertical="center" wrapText="1"/>
    </xf>
    <xf numFmtId="165" fontId="14" fillId="10" borderId="2" xfId="0" applyNumberFormat="1" applyFont="1" applyFill="1" applyBorder="1" applyAlignment="1">
      <alignment horizontal="right" vertical="center"/>
    </xf>
    <xf numFmtId="0" fontId="10" fillId="5" borderId="1" xfId="0" applyFont="1" applyFill="1" applyBorder="1" applyAlignment="1">
      <alignment horizontal="left" vertical="center" wrapText="1"/>
    </xf>
    <xf numFmtId="0" fontId="17" fillId="4" borderId="2" xfId="0" applyFont="1" applyFill="1" applyBorder="1" applyAlignment="1">
      <alignment horizontal="center" vertical="center" wrapText="1"/>
    </xf>
    <xf numFmtId="0" fontId="19" fillId="6" borderId="2" xfId="0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65" fontId="3" fillId="2" borderId="2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right" vertical="center"/>
    </xf>
    <xf numFmtId="0" fontId="25" fillId="8" borderId="2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left" vertical="center" wrapText="1"/>
    </xf>
    <xf numFmtId="14" fontId="26" fillId="6" borderId="2" xfId="0" applyNumberFormat="1" applyFont="1" applyFill="1" applyBorder="1" applyAlignment="1">
      <alignment horizontal="center" vertical="center" wrapText="1"/>
    </xf>
    <xf numFmtId="165" fontId="26" fillId="6" borderId="2" xfId="0" applyNumberFormat="1" applyFont="1" applyFill="1" applyBorder="1" applyAlignment="1">
      <alignment horizontal="right" vertical="center"/>
    </xf>
    <xf numFmtId="9" fontId="26" fillId="6" borderId="2" xfId="0" applyNumberFormat="1" applyFont="1" applyFill="1" applyBorder="1" applyAlignment="1">
      <alignment horizontal="center" vertical="center" wrapText="1"/>
    </xf>
    <xf numFmtId="165" fontId="27" fillId="10" borderId="2" xfId="0" applyNumberFormat="1" applyFont="1" applyFill="1" applyBorder="1" applyAlignment="1">
      <alignment horizontal="right" vertical="center"/>
    </xf>
    <xf numFmtId="0" fontId="20" fillId="7" borderId="2" xfId="0" applyFont="1" applyFill="1" applyBorder="1" applyAlignment="1">
      <alignment horizontal="center" vertical="center" wrapText="1"/>
    </xf>
    <xf numFmtId="0" fontId="20" fillId="5" borderId="2" xfId="0" applyFont="1" applyFill="1" applyBorder="1" applyAlignment="1">
      <alignment horizontal="center" vertical="center" wrapText="1"/>
    </xf>
    <xf numFmtId="165" fontId="29" fillId="8" borderId="2" xfId="0" applyNumberFormat="1" applyFont="1" applyFill="1" applyBorder="1" applyAlignment="1">
      <alignment horizontal="right" vertical="center"/>
    </xf>
    <xf numFmtId="164" fontId="29" fillId="8" borderId="2" xfId="0" applyNumberFormat="1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center" vertical="center" wrapText="1"/>
    </xf>
    <xf numFmtId="0" fontId="21" fillId="12" borderId="2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32" fillId="5" borderId="2" xfId="0" applyFont="1" applyFill="1" applyBorder="1" applyAlignment="1">
      <alignment horizontal="left" vertical="center" wrapText="1"/>
    </xf>
    <xf numFmtId="0" fontId="19" fillId="7" borderId="1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horizontal="left" vertical="center" wrapText="1"/>
    </xf>
    <xf numFmtId="14" fontId="5" fillId="6" borderId="1" xfId="0" applyNumberFormat="1" applyFont="1" applyFill="1" applyBorder="1" applyAlignment="1">
      <alignment horizontal="left" vertical="center" wrapText="1"/>
    </xf>
    <xf numFmtId="0" fontId="0" fillId="0" borderId="4" xfId="0" applyBorder="1"/>
    <xf numFmtId="0" fontId="5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34" fillId="0" borderId="0" xfId="0" applyFont="1" applyFill="1" applyBorder="1" applyAlignment="1">
      <alignment horizontal="center" vertical="center" wrapText="1"/>
    </xf>
    <xf numFmtId="0" fontId="35" fillId="0" borderId="0" xfId="0" applyFont="1" applyFill="1" applyBorder="1" applyAlignment="1"/>
    <xf numFmtId="0" fontId="10" fillId="5" borderId="1" xfId="0" applyFont="1" applyFill="1" applyBorder="1" applyAlignment="1">
      <alignment vertical="center" wrapText="1"/>
    </xf>
    <xf numFmtId="0" fontId="0" fillId="0" borderId="4" xfId="0" applyBorder="1" applyAlignment="1"/>
    <xf numFmtId="0" fontId="3" fillId="4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36" fillId="0" borderId="0" xfId="0" applyFont="1" applyFill="1" applyBorder="1" applyAlignment="1"/>
    <xf numFmtId="0" fontId="34" fillId="3" borderId="5" xfId="0" applyFont="1" applyFill="1" applyBorder="1" applyAlignment="1">
      <alignment horizontal="left" vertical="center" wrapText="1"/>
    </xf>
    <xf numFmtId="0" fontId="34" fillId="3" borderId="3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5" xfId="0" applyFont="1" applyFill="1" applyBorder="1" applyAlignment="1">
      <alignment horizontal="left" vertical="center" wrapText="1"/>
    </xf>
    <xf numFmtId="0" fontId="4" fillId="11" borderId="3" xfId="0" applyFont="1" applyFill="1" applyBorder="1" applyAlignment="1">
      <alignment horizontal="left" vertical="center" wrapText="1"/>
    </xf>
    <xf numFmtId="0" fontId="18" fillId="8" borderId="4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vertical="center"/>
    </xf>
    <xf numFmtId="165" fontId="5" fillId="13" borderId="2" xfId="0" applyNumberFormat="1" applyFont="1" applyFill="1" applyBorder="1" applyAlignment="1">
      <alignment horizontal="right" vertical="center"/>
    </xf>
    <xf numFmtId="165" fontId="15" fillId="14" borderId="2" xfId="0" applyNumberFormat="1" applyFont="1" applyFill="1" applyBorder="1" applyAlignment="1">
      <alignment horizontal="right" vertical="center"/>
    </xf>
    <xf numFmtId="165" fontId="13" fillId="15" borderId="2" xfId="0" applyNumberFormat="1" applyFont="1" applyFill="1" applyBorder="1" applyAlignment="1">
      <alignment horizontal="right" vertical="center"/>
    </xf>
    <xf numFmtId="0" fontId="37" fillId="7" borderId="1" xfId="0" applyFont="1" applyFill="1" applyBorder="1" applyAlignment="1">
      <alignment horizontal="center" vertical="center" wrapText="1"/>
    </xf>
    <xf numFmtId="0" fontId="38" fillId="14" borderId="2" xfId="0" applyFont="1" applyFill="1" applyBorder="1" applyAlignment="1">
      <alignment horizontal="center" vertical="center" wrapText="1"/>
    </xf>
    <xf numFmtId="164" fontId="5" fillId="6" borderId="5" xfId="0" applyNumberFormat="1" applyFont="1" applyFill="1" applyBorder="1" applyAlignment="1">
      <alignment horizontal="left" vertical="center" wrapText="1"/>
    </xf>
    <xf numFmtId="164" fontId="5" fillId="6" borderId="3" xfId="0" applyNumberFormat="1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5E"/>
      <rgbColor rgb="FFAABBCC"/>
      <rgbColor rgb="FF888888"/>
      <rgbColor rgb="FF9999FF"/>
      <rgbColor rgb="FFB71C1C"/>
      <rgbColor rgb="FFFFF8E1"/>
      <rgbColor rgb="FFE6F5F1"/>
      <rgbColor rgb="FF660066"/>
      <rgbColor rgb="FFFF8080"/>
      <rgbColor rgb="FF1565C0"/>
      <rgbColor rgb="FFDD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7"/>
      <rgbColor rgb="FFF4F6FA"/>
      <rgbColor rgb="FFFFF3D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951A"/>
      <rgbColor rgb="FFFF6600"/>
      <rgbColor rgb="FF777777"/>
      <rgbColor rgb="FF999999"/>
      <rgbColor rgb="FF1B3D6E"/>
      <rgbColor rgb="FF339966"/>
      <rgbColor rgb="FF003300"/>
      <rgbColor rgb="FF555555"/>
      <rgbColor rgb="FF8B4500"/>
      <rgbColor rgb="FF993366"/>
      <rgbColor rgb="FF455A64"/>
      <rgbColor rgb="FF0F24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114300</xdr:rowOff>
    </xdr:from>
    <xdr:to>
      <xdr:col>0</xdr:col>
      <xdr:colOff>1548540</xdr:colOff>
      <xdr:row>1</xdr:row>
      <xdr:rowOff>566460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9D38E875-7ABF-42FD-AF59-0750CB0696F7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4300" y="209550"/>
          <a:ext cx="1434240" cy="452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D6E"/>
  </sheetPr>
  <dimension ref="A1:E55"/>
  <sheetViews>
    <sheetView showGridLines="0" tabSelected="1" zoomScale="90" zoomScaleNormal="90" workbookViewId="0"/>
  </sheetViews>
  <sheetFormatPr defaultColWidth="8.7109375" defaultRowHeight="15" zeroHeight="1" outlineLevelRow="1" x14ac:dyDescent="0.25"/>
  <cols>
    <col min="1" max="1" width="26.42578125" style="1" customWidth="1"/>
    <col min="2" max="2" width="50" style="1" customWidth="1"/>
    <col min="3" max="3" width="22" style="1" customWidth="1"/>
    <col min="4" max="4" width="72.28515625" style="1" customWidth="1"/>
    <col min="6" max="16383" width="0" hidden="1" customWidth="1"/>
  </cols>
  <sheetData>
    <row r="1" spans="1:4" ht="7.5" customHeight="1" x14ac:dyDescent="0.25"/>
    <row r="2" spans="1:4" ht="51.75" customHeight="1" x14ac:dyDescent="0.25">
      <c r="A2" s="52" t="s">
        <v>0</v>
      </c>
      <c r="B2" s="44"/>
      <c r="C2" s="44"/>
      <c r="D2" s="44"/>
    </row>
    <row r="3" spans="1:4" ht="19.5" customHeight="1" x14ac:dyDescent="0.25">
      <c r="A3" s="51" t="s">
        <v>1</v>
      </c>
      <c r="B3" s="44"/>
      <c r="C3" s="44"/>
      <c r="D3" s="44"/>
    </row>
    <row r="4" spans="1:4" ht="7.5" customHeight="1" x14ac:dyDescent="0.25"/>
    <row r="5" spans="1:4" ht="19.5" customHeight="1" x14ac:dyDescent="0.25">
      <c r="A5" s="46" t="s">
        <v>2</v>
      </c>
      <c r="B5" s="70"/>
      <c r="C5" s="70"/>
      <c r="D5" s="70"/>
    </row>
    <row r="6" spans="1:4" x14ac:dyDescent="0.25">
      <c r="A6" s="2" t="s">
        <v>3</v>
      </c>
      <c r="B6" s="45"/>
      <c r="C6" s="71"/>
      <c r="D6" s="71"/>
    </row>
    <row r="7" spans="1:4" x14ac:dyDescent="0.25">
      <c r="A7" s="2" t="s">
        <v>4</v>
      </c>
      <c r="B7" s="45"/>
      <c r="C7" s="71"/>
      <c r="D7" s="71"/>
    </row>
    <row r="8" spans="1:4" x14ac:dyDescent="0.25">
      <c r="A8" s="2" t="s">
        <v>5</v>
      </c>
      <c r="B8" s="45"/>
      <c r="C8" s="71"/>
      <c r="D8" s="71"/>
    </row>
    <row r="9" spans="1:4" x14ac:dyDescent="0.25">
      <c r="A9" s="2" t="s">
        <v>6</v>
      </c>
      <c r="B9" s="45"/>
      <c r="C9" s="71"/>
      <c r="D9" s="71"/>
    </row>
    <row r="10" spans="1:4" x14ac:dyDescent="0.25">
      <c r="A10" s="2" t="s">
        <v>7</v>
      </c>
      <c r="B10" s="45"/>
      <c r="C10" s="71"/>
      <c r="D10" s="71"/>
    </row>
    <row r="11" spans="1:4" x14ac:dyDescent="0.25">
      <c r="A11" s="2" t="s">
        <v>8</v>
      </c>
      <c r="B11" s="43"/>
      <c r="C11" s="44"/>
      <c r="D11" s="44"/>
    </row>
    <row r="12" spans="1:4" x14ac:dyDescent="0.25">
      <c r="A12" s="2" t="s">
        <v>9</v>
      </c>
      <c r="B12" s="43"/>
      <c r="C12" s="44"/>
      <c r="D12" s="44"/>
    </row>
    <row r="13" spans="1:4" x14ac:dyDescent="0.25">
      <c r="A13" s="2" t="s">
        <v>10</v>
      </c>
      <c r="B13" s="43"/>
      <c r="C13" s="44"/>
      <c r="D13" s="44"/>
    </row>
    <row r="14" spans="1:4" ht="7.5" customHeight="1" x14ac:dyDescent="0.25"/>
    <row r="15" spans="1:4" ht="19.5" customHeight="1" x14ac:dyDescent="0.25">
      <c r="A15" s="46" t="s">
        <v>11</v>
      </c>
      <c r="B15" s="70"/>
      <c r="C15" s="70"/>
      <c r="D15" s="70"/>
    </row>
    <row r="16" spans="1:4" x14ac:dyDescent="0.25">
      <c r="A16" s="2" t="s">
        <v>12</v>
      </c>
      <c r="B16" s="53" t="s">
        <v>13</v>
      </c>
      <c r="C16" s="44"/>
      <c r="D16" s="44"/>
    </row>
    <row r="17" spans="1:5" ht="25.5" x14ac:dyDescent="0.25">
      <c r="A17" s="88" t="s">
        <v>14</v>
      </c>
      <c r="B17" s="86">
        <v>0.16500000000000001</v>
      </c>
      <c r="C17" s="87"/>
      <c r="D17" s="87"/>
    </row>
    <row r="18" spans="1:5" ht="7.5" customHeight="1" x14ac:dyDescent="0.25"/>
    <row r="19" spans="1:5" ht="19.5" customHeight="1" x14ac:dyDescent="0.25">
      <c r="A19" s="46" t="s">
        <v>15</v>
      </c>
      <c r="B19" s="70"/>
      <c r="C19" s="70"/>
      <c r="D19" s="70"/>
    </row>
    <row r="20" spans="1:5" ht="21.75" customHeight="1" x14ac:dyDescent="0.25">
      <c r="A20" s="4" t="s">
        <v>16</v>
      </c>
      <c r="B20" s="4" t="s">
        <v>17</v>
      </c>
      <c r="C20" s="4" t="s">
        <v>18</v>
      </c>
      <c r="D20" s="65" t="s">
        <v>19</v>
      </c>
    </row>
    <row r="21" spans="1:5" x14ac:dyDescent="0.25">
      <c r="A21" s="5" t="s">
        <v>20</v>
      </c>
      <c r="B21" s="6" t="s">
        <v>21</v>
      </c>
      <c r="C21" s="81">
        <f>IFERROR(IF(B16="Flat Rate Scheme",ROUND(IFERROR(Sales!H3,0)*IFERROR(B17,0),2),ROUND(IFERROR(Sales!G3,0),2)),0)</f>
        <v>0</v>
      </c>
      <c r="D21" s="15" t="s">
        <v>22</v>
      </c>
    </row>
    <row r="22" spans="1:5" x14ac:dyDescent="0.25">
      <c r="A22" s="5" t="s">
        <v>24</v>
      </c>
      <c r="B22" s="3" t="s">
        <v>25</v>
      </c>
      <c r="C22" s="7">
        <v>0</v>
      </c>
      <c r="D22" s="15" t="s">
        <v>26</v>
      </c>
    </row>
    <row r="23" spans="1:5" x14ac:dyDescent="0.25">
      <c r="A23" s="8" t="s">
        <v>28</v>
      </c>
      <c r="B23" s="9" t="s">
        <v>29</v>
      </c>
      <c r="C23" s="83">
        <f>ROUND(IFERROR(C21,0)+IFERROR(C22,0),2)</f>
        <v>0</v>
      </c>
      <c r="D23" s="15" t="s">
        <v>30</v>
      </c>
    </row>
    <row r="24" spans="1:5" x14ac:dyDescent="0.25">
      <c r="A24" s="5" t="s">
        <v>32</v>
      </c>
      <c r="B24" s="3" t="s">
        <v>33</v>
      </c>
      <c r="C24" s="81">
        <f>ROUND(IFERROR(Expenses!G3,0),2)</f>
        <v>0</v>
      </c>
      <c r="D24" s="15" t="s">
        <v>34</v>
      </c>
    </row>
    <row r="25" spans="1:5" x14ac:dyDescent="0.25">
      <c r="A25" s="10" t="s">
        <v>36</v>
      </c>
      <c r="B25" s="11" t="s">
        <v>37</v>
      </c>
      <c r="C25" s="82">
        <f>ROUND(IFERROR(C23,0)-IFERROR(C24,0),2)</f>
        <v>0</v>
      </c>
      <c r="D25" s="15" t="s">
        <v>38</v>
      </c>
    </row>
    <row r="26" spans="1:5" x14ac:dyDescent="0.25">
      <c r="A26" s="5" t="s">
        <v>40</v>
      </c>
      <c r="B26" s="3" t="s">
        <v>41</v>
      </c>
      <c r="C26" s="81">
        <f>ROUND(IFERROR(Sales!E3,0),2)</f>
        <v>0</v>
      </c>
      <c r="D26" s="15" t="s">
        <v>42</v>
      </c>
    </row>
    <row r="27" spans="1:5" x14ac:dyDescent="0.25">
      <c r="A27" s="5" t="s">
        <v>44</v>
      </c>
      <c r="B27" s="6" t="s">
        <v>45</v>
      </c>
      <c r="C27" s="81">
        <f>ROUND(IFERROR(Expenses!E3,0),2)</f>
        <v>0</v>
      </c>
      <c r="D27" s="15" t="s">
        <v>46</v>
      </c>
    </row>
    <row r="28" spans="1:5" x14ac:dyDescent="0.25">
      <c r="A28" s="5" t="s">
        <v>48</v>
      </c>
      <c r="B28" s="3" t="s">
        <v>49</v>
      </c>
      <c r="C28" s="7">
        <v>0</v>
      </c>
      <c r="D28" s="15" t="s">
        <v>50</v>
      </c>
    </row>
    <row r="29" spans="1:5" x14ac:dyDescent="0.25">
      <c r="A29" s="5" t="s">
        <v>52</v>
      </c>
      <c r="B29" s="6" t="s">
        <v>53</v>
      </c>
      <c r="C29" s="7">
        <v>0</v>
      </c>
      <c r="D29" s="15" t="s">
        <v>54</v>
      </c>
    </row>
    <row r="30" spans="1:5" ht="7.5" customHeight="1" x14ac:dyDescent="0.25"/>
    <row r="31" spans="1:5" ht="19.5" customHeight="1" x14ac:dyDescent="0.25">
      <c r="A31" s="77" t="s">
        <v>56</v>
      </c>
      <c r="B31" s="78"/>
      <c r="C31" s="78"/>
      <c r="D31" s="78"/>
    </row>
    <row r="32" spans="1:5" x14ac:dyDescent="0.25">
      <c r="A32" s="72" t="s">
        <v>57</v>
      </c>
      <c r="B32" s="69"/>
      <c r="C32" s="80" t="str">
        <f>IF(ROUND(C23,2)=ROUND(C21+C22,2),"✓ PASS","✗ ERROR — check Box 1 and Box 2")</f>
        <v>✓ PASS</v>
      </c>
      <c r="D32" s="73"/>
      <c r="E32" s="73"/>
    </row>
    <row r="33" spans="1:5" x14ac:dyDescent="0.25">
      <c r="A33" s="72" t="s">
        <v>58</v>
      </c>
      <c r="B33" s="69"/>
      <c r="C33" s="80" t="str">
        <f>IF(ROUND(C25,2)=ROUND(C23-C24,2),"✓ PASS","✗ ERROR — check Box 3 and Box 4")</f>
        <v>✓ PASS</v>
      </c>
      <c r="D33" s="73"/>
      <c r="E33" s="73"/>
    </row>
    <row r="34" spans="1:5" x14ac:dyDescent="0.25">
      <c r="A34" s="72" t="s">
        <v>59</v>
      </c>
      <c r="B34" s="69"/>
      <c r="C34" s="80" t="str">
        <f>IF(AND(C21&gt;=0,C22&gt;=0,C23&gt;=0,C24&gt;=0,C26&gt;=0,C27&gt;=0),"✓ PASS","⚠ CHECK — negative value")</f>
        <v>✓ PASS</v>
      </c>
      <c r="D34" s="73"/>
      <c r="E34" s="73"/>
    </row>
    <row r="35" spans="1:5" x14ac:dyDescent="0.25">
      <c r="A35" s="72" t="s">
        <v>60</v>
      </c>
      <c r="B35" s="69"/>
      <c r="C35" s="80" t="str">
        <f>IF(C25&lt;&gt;0,"✓ Value in Box 5","⚠ Box 5 is £0 — confirm figures are entered")</f>
        <v>⚠ Box 5 is £0 — confirm figures are entered</v>
      </c>
      <c r="D35" s="73"/>
      <c r="E35" s="73"/>
    </row>
    <row r="36" spans="1:5" ht="7.5" customHeight="1" x14ac:dyDescent="0.25"/>
    <row r="37" spans="1:5" ht="19.5" hidden="1" customHeight="1" outlineLevel="1" x14ac:dyDescent="0.25">
      <c r="A37" s="74" t="s">
        <v>61</v>
      </c>
      <c r="B37" s="75"/>
      <c r="C37" s="75"/>
      <c r="D37" s="75"/>
    </row>
    <row r="38" spans="1:5" ht="19.5" hidden="1" customHeight="1" outlineLevel="1" x14ac:dyDescent="0.25">
      <c r="A38" s="4" t="s">
        <v>62</v>
      </c>
      <c r="B38" s="4" t="s">
        <v>63</v>
      </c>
      <c r="C38" s="65" t="s">
        <v>16</v>
      </c>
      <c r="D38" s="66"/>
    </row>
    <row r="39" spans="1:5" ht="19.5" hidden="1" customHeight="1" outlineLevel="1" x14ac:dyDescent="0.25">
      <c r="A39" s="13" t="s">
        <v>23</v>
      </c>
      <c r="B39" s="14">
        <f t="shared" ref="B39:B47" si="0">C21</f>
        <v>0</v>
      </c>
      <c r="C39" s="68" t="s">
        <v>64</v>
      </c>
      <c r="D39" s="67"/>
    </row>
    <row r="40" spans="1:5" ht="19.5" hidden="1" customHeight="1" outlineLevel="1" x14ac:dyDescent="0.25">
      <c r="A40" s="13" t="s">
        <v>27</v>
      </c>
      <c r="B40" s="14">
        <f t="shared" si="0"/>
        <v>0</v>
      </c>
      <c r="C40" s="68" t="s">
        <v>65</v>
      </c>
      <c r="D40" s="67"/>
    </row>
    <row r="41" spans="1:5" ht="19.5" hidden="1" customHeight="1" outlineLevel="1" x14ac:dyDescent="0.25">
      <c r="A41" s="13" t="s">
        <v>31</v>
      </c>
      <c r="B41" s="14">
        <f t="shared" si="0"/>
        <v>0</v>
      </c>
      <c r="C41" s="68" t="s">
        <v>66</v>
      </c>
      <c r="D41" s="67"/>
    </row>
    <row r="42" spans="1:5" ht="19.5" hidden="1" customHeight="1" outlineLevel="1" x14ac:dyDescent="0.25">
      <c r="A42" s="13" t="s">
        <v>35</v>
      </c>
      <c r="B42" s="14">
        <f t="shared" si="0"/>
        <v>0</v>
      </c>
      <c r="C42" s="68" t="s">
        <v>67</v>
      </c>
      <c r="D42" s="67"/>
    </row>
    <row r="43" spans="1:5" ht="19.5" hidden="1" customHeight="1" outlineLevel="1" x14ac:dyDescent="0.25">
      <c r="A43" s="13" t="s">
        <v>39</v>
      </c>
      <c r="B43" s="14">
        <f t="shared" si="0"/>
        <v>0</v>
      </c>
      <c r="C43" s="68" t="s">
        <v>68</v>
      </c>
      <c r="D43" s="67"/>
    </row>
    <row r="44" spans="1:5" ht="19.5" hidden="1" customHeight="1" outlineLevel="1" x14ac:dyDescent="0.25">
      <c r="A44" s="13" t="s">
        <v>43</v>
      </c>
      <c r="B44" s="14">
        <f t="shared" si="0"/>
        <v>0</v>
      </c>
      <c r="C44" s="68" t="s">
        <v>69</v>
      </c>
      <c r="D44" s="67"/>
    </row>
    <row r="45" spans="1:5" ht="19.5" hidden="1" customHeight="1" outlineLevel="1" x14ac:dyDescent="0.25">
      <c r="A45" s="13" t="s">
        <v>47</v>
      </c>
      <c r="B45" s="14">
        <f t="shared" si="0"/>
        <v>0</v>
      </c>
      <c r="C45" s="68" t="s">
        <v>70</v>
      </c>
      <c r="D45" s="67"/>
    </row>
    <row r="46" spans="1:5" ht="19.5" hidden="1" customHeight="1" outlineLevel="1" x14ac:dyDescent="0.25">
      <c r="A46" s="13" t="s">
        <v>51</v>
      </c>
      <c r="B46" s="14">
        <f t="shared" si="0"/>
        <v>0</v>
      </c>
      <c r="C46" s="68" t="s">
        <v>71</v>
      </c>
      <c r="D46" s="67"/>
    </row>
    <row r="47" spans="1:5" ht="19.5" hidden="1" customHeight="1" outlineLevel="1" x14ac:dyDescent="0.25">
      <c r="A47" s="13" t="s">
        <v>55</v>
      </c>
      <c r="B47" s="14">
        <f t="shared" si="0"/>
        <v>0</v>
      </c>
      <c r="C47" s="68" t="s">
        <v>72</v>
      </c>
      <c r="D47" s="67"/>
    </row>
    <row r="48" spans="1:5" ht="7.5" hidden="1" customHeight="1" outlineLevel="1" x14ac:dyDescent="0.25"/>
    <row r="49" spans="1:4" ht="21.75" hidden="1" customHeight="1" outlineLevel="1" x14ac:dyDescent="0.25">
      <c r="A49" s="16" t="s">
        <v>73</v>
      </c>
      <c r="B49" s="48" t="str">
        <f>"{"&amp;"vatDueSales:"&amp;TEXT(C21,"0.00")&amp;",vatDueAcquisitions:"&amp;TEXT(C22,"0.00")&amp;",totalVatDue:"&amp;TEXT(C23,"0.00")&amp;",vatReclaimedCurrPeriod:"&amp;TEXT(C24,"0.00")&amp;",netVatDue:"&amp;TEXT(C25,"0.00")&amp;",totalValueSalesExVAT:"&amp;TEXT(C26,"0.00")&amp;",totalValuePurchasesExVAT:"&amp;TEXT(C27,"0.00")&amp;"}"</f>
        <v>{vatDueSales:0.00,vatDueAcquisitions:0.00,totalVatDue:0.00,vatReclaimedCurrPeriod:0.00,netVatDue:0.00,totalValueSalesExVAT:0.00,totalValuePurchasesExVAT:0.00}</v>
      </c>
      <c r="C49" s="79"/>
      <c r="D49" s="79"/>
    </row>
    <row r="50" spans="1:4" ht="7.5" customHeight="1" collapsed="1" x14ac:dyDescent="0.25"/>
    <row r="51" spans="1:4" ht="19.5" customHeight="1" x14ac:dyDescent="0.25">
      <c r="A51" s="49" t="s">
        <v>74</v>
      </c>
      <c r="B51" s="76"/>
      <c r="C51" s="76"/>
      <c r="D51" s="76"/>
    </row>
    <row r="52" spans="1:4" ht="19.5" customHeight="1" x14ac:dyDescent="0.25">
      <c r="A52" s="17" t="s">
        <v>240</v>
      </c>
      <c r="B52" s="85" t="s">
        <v>241</v>
      </c>
      <c r="C52" s="18" t="s">
        <v>75</v>
      </c>
      <c r="D52" s="84"/>
    </row>
    <row r="53" spans="1:4" x14ac:dyDescent="0.25"/>
    <row r="54" spans="1:4" ht="21.75" customHeight="1" x14ac:dyDescent="0.25">
      <c r="A54" s="50" t="s">
        <v>76</v>
      </c>
      <c r="B54" s="44"/>
      <c r="C54" s="44"/>
      <c r="D54" s="44"/>
    </row>
    <row r="55" spans="1:4" x14ac:dyDescent="0.25"/>
  </sheetData>
  <mergeCells count="20">
    <mergeCell ref="A5:D5"/>
    <mergeCell ref="A15:D15"/>
    <mergeCell ref="A37:D37"/>
    <mergeCell ref="A51:D51"/>
    <mergeCell ref="A31:D31"/>
    <mergeCell ref="B49:D49"/>
    <mergeCell ref="B17:D17"/>
    <mergeCell ref="A3:D3"/>
    <mergeCell ref="A2:D2"/>
    <mergeCell ref="B16:D16"/>
    <mergeCell ref="B12:D12"/>
    <mergeCell ref="A19:D19"/>
    <mergeCell ref="B6:D6"/>
    <mergeCell ref="A54:D54"/>
    <mergeCell ref="B8:D8"/>
    <mergeCell ref="B9:D9"/>
    <mergeCell ref="B10:D10"/>
    <mergeCell ref="B13:D13"/>
    <mergeCell ref="B11:D11"/>
    <mergeCell ref="B7:D7"/>
  </mergeCells>
  <dataValidations count="2">
    <dataValidation type="list" showInputMessage="1" prompt="Select your VAT accounting scheme" sqref="B16" xr:uid="{00000000-0002-0000-0000-000000000000}">
      <formula1>"Standard (Invoice Basis),Cash Accounting,Flat Rate Scheme,Annual Accounting,Retail Scheme"</formula1>
      <formula2>0</formula2>
    </dataValidation>
    <dataValidation type="decimal" showErrorMessage="1" error="Enter 0.01–0.50" sqref="B17" xr:uid="{00000000-0002-0000-0000-000001000000}">
      <formula1>0.01</formula1>
      <formula2>0.5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A1:I205"/>
  <sheetViews>
    <sheetView showGridLines="0" zoomScaleNormal="100" workbookViewId="0">
      <selection activeCell="E5" sqref="E5"/>
    </sheetView>
  </sheetViews>
  <sheetFormatPr defaultColWidth="8.7109375" defaultRowHeight="15" x14ac:dyDescent="0.25"/>
  <cols>
    <col min="1" max="1" width="3" style="1" customWidth="1"/>
    <col min="2" max="2" width="14" style="1" customWidth="1"/>
    <col min="3" max="3" width="26" style="1" customWidth="1"/>
    <col min="4" max="4" width="11" style="1" customWidth="1"/>
    <col min="5" max="5" width="17" style="1" customWidth="1"/>
    <col min="6" max="6" width="9" style="1" customWidth="1"/>
    <col min="7" max="8" width="17" style="1" customWidth="1"/>
    <col min="9" max="9" width="12" style="1" customWidth="1"/>
  </cols>
  <sheetData>
    <row r="1" spans="1:9" ht="39.75" customHeight="1" x14ac:dyDescent="0.25">
      <c r="A1" s="54" t="s">
        <v>77</v>
      </c>
      <c r="B1" s="44"/>
      <c r="C1" s="44"/>
      <c r="D1" s="44"/>
      <c r="E1" s="44"/>
      <c r="F1" s="44"/>
      <c r="G1" s="44"/>
      <c r="H1" s="44"/>
      <c r="I1" s="44"/>
    </row>
    <row r="2" spans="1:9" ht="19.5" customHeight="1" x14ac:dyDescent="0.25">
      <c r="A2" s="55" t="s">
        <v>78</v>
      </c>
      <c r="B2" s="44"/>
      <c r="C2" s="44"/>
      <c r="D2" s="44"/>
      <c r="E2" s="44"/>
      <c r="F2" s="44"/>
      <c r="G2" s="44"/>
      <c r="H2" s="44"/>
      <c r="I2" s="44"/>
    </row>
    <row r="3" spans="1:9" ht="24" customHeight="1" x14ac:dyDescent="0.25">
      <c r="A3" s="19" t="s">
        <v>79</v>
      </c>
      <c r="B3" s="19"/>
      <c r="C3" s="19"/>
      <c r="D3" s="19"/>
      <c r="E3" s="20">
        <f>SUM(E5:E204)</f>
        <v>0</v>
      </c>
      <c r="F3" s="21"/>
      <c r="G3" s="20">
        <f>SUM(G5:G204)</f>
        <v>0</v>
      </c>
      <c r="H3" s="20">
        <f>SUM(H5:H204)</f>
        <v>0</v>
      </c>
      <c r="I3" s="21"/>
    </row>
    <row r="4" spans="1:9" ht="30" customHeight="1" x14ac:dyDescent="0.25">
      <c r="A4" s="4" t="s">
        <v>80</v>
      </c>
      <c r="B4" s="4" t="s">
        <v>81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4" t="s">
        <v>87</v>
      </c>
      <c r="I4" s="4" t="s">
        <v>88</v>
      </c>
    </row>
    <row r="5" spans="1:9" ht="16.5" customHeight="1" x14ac:dyDescent="0.25">
      <c r="A5" s="22">
        <v>1</v>
      </c>
      <c r="B5" s="23"/>
      <c r="C5" s="24"/>
      <c r="D5" s="25"/>
      <c r="E5" s="26"/>
      <c r="F5" s="27">
        <v>0.2</v>
      </c>
      <c r="G5" s="28">
        <f>IF(ISNUMBER(E5),IF(VAT_Return!B16="Flat Rate Scheme",0,ROUND(E5*IF(F5=0.2,0.2,IF(F5=0.05,0.05,0)),2)),0)</f>
        <v>0</v>
      </c>
      <c r="H5" s="28">
        <f t="shared" ref="H5:H36" si="0">IF(ISNUMBER(E5),ROUND(E5+G5,2),0)</f>
        <v>0</v>
      </c>
      <c r="I5" s="29" t="str">
        <f t="shared" ref="I5:I36" si="1">IF(E5="","",IF(ISNUMBER(E5),IF(E5&gt;0,"✓ OK","⚠ Check Net"),"⚠ Not a number"))</f>
        <v/>
      </c>
    </row>
    <row r="6" spans="1:9" ht="16.5" customHeight="1" x14ac:dyDescent="0.25">
      <c r="A6" s="22">
        <v>2</v>
      </c>
      <c r="B6" s="23"/>
      <c r="C6" s="24"/>
      <c r="D6" s="25"/>
      <c r="E6" s="26"/>
      <c r="F6" s="27">
        <v>0.2</v>
      </c>
      <c r="G6" s="28">
        <f>IF(ISNUMBER(E6),IF(VAT_Return!B16="Flat Rate Scheme",0,ROUND(E6*IF(F6=0.2,0.2,IF(F6=0.05,0.05,0)),2)),0)</f>
        <v>0</v>
      </c>
      <c r="H6" s="28">
        <f t="shared" si="0"/>
        <v>0</v>
      </c>
      <c r="I6" s="30" t="str">
        <f t="shared" si="1"/>
        <v/>
      </c>
    </row>
    <row r="7" spans="1:9" ht="16.5" customHeight="1" x14ac:dyDescent="0.25">
      <c r="A7" s="22">
        <v>3</v>
      </c>
      <c r="B7" s="23"/>
      <c r="C7" s="24"/>
      <c r="D7" s="25"/>
      <c r="E7" s="26"/>
      <c r="F7" s="27">
        <v>0.2</v>
      </c>
      <c r="G7" s="28">
        <f>IF(ISNUMBER(E7),IF(VAT_Return!B16="Flat Rate Scheme",0,ROUND(E7*IF(F7=0.2,0.2,IF(F7=0.05,0.05,0)),2)),0)</f>
        <v>0</v>
      </c>
      <c r="H7" s="28">
        <f t="shared" si="0"/>
        <v>0</v>
      </c>
      <c r="I7" s="29" t="str">
        <f t="shared" si="1"/>
        <v/>
      </c>
    </row>
    <row r="8" spans="1:9" ht="16.5" customHeight="1" x14ac:dyDescent="0.25">
      <c r="A8" s="22">
        <v>4</v>
      </c>
      <c r="B8" s="23"/>
      <c r="C8" s="24"/>
      <c r="D8" s="25"/>
      <c r="E8" s="26"/>
      <c r="F8" s="27">
        <v>0.2</v>
      </c>
      <c r="G8" s="28">
        <f>IF(ISNUMBER(E8),IF(VAT_Return!B16="Flat Rate Scheme",0,ROUND(E8*IF(F8=0.2,0.2,IF(F8=0.05,0.05,0)),2)),0)</f>
        <v>0</v>
      </c>
      <c r="H8" s="28">
        <f t="shared" si="0"/>
        <v>0</v>
      </c>
      <c r="I8" s="30" t="str">
        <f t="shared" si="1"/>
        <v/>
      </c>
    </row>
    <row r="9" spans="1:9" ht="16.5" customHeight="1" x14ac:dyDescent="0.25">
      <c r="A9" s="22">
        <v>5</v>
      </c>
      <c r="B9" s="23"/>
      <c r="C9" s="24"/>
      <c r="D9" s="25"/>
      <c r="E9" s="26"/>
      <c r="F9" s="27">
        <v>0.2</v>
      </c>
      <c r="G9" s="28">
        <f>IF(ISNUMBER(E9),IF(VAT_Return!B16="Flat Rate Scheme",0,ROUND(E9*IF(F9=0.2,0.2,IF(F9=0.05,0.05,0)),2)),0)</f>
        <v>0</v>
      </c>
      <c r="H9" s="28">
        <f t="shared" si="0"/>
        <v>0</v>
      </c>
      <c r="I9" s="29" t="str">
        <f t="shared" si="1"/>
        <v/>
      </c>
    </row>
    <row r="10" spans="1:9" ht="16.5" customHeight="1" x14ac:dyDescent="0.25">
      <c r="A10" s="22">
        <v>6</v>
      </c>
      <c r="B10" s="23"/>
      <c r="C10" s="24"/>
      <c r="D10" s="25"/>
      <c r="E10" s="26"/>
      <c r="F10" s="27">
        <v>0.2</v>
      </c>
      <c r="G10" s="28">
        <f>IF(ISNUMBER(E10),IF(VAT_Return!B16="Flat Rate Scheme",0,ROUND(E10*IF(F10=0.2,0.2,IF(F10=0.05,0.05,0)),2)),0)</f>
        <v>0</v>
      </c>
      <c r="H10" s="28">
        <f t="shared" si="0"/>
        <v>0</v>
      </c>
      <c r="I10" s="30" t="str">
        <f t="shared" si="1"/>
        <v/>
      </c>
    </row>
    <row r="11" spans="1:9" ht="16.5" customHeight="1" x14ac:dyDescent="0.25">
      <c r="A11" s="22">
        <v>7</v>
      </c>
      <c r="B11" s="23"/>
      <c r="C11" s="24"/>
      <c r="D11" s="25"/>
      <c r="E11" s="26"/>
      <c r="F11" s="27">
        <v>0.2</v>
      </c>
      <c r="G11" s="28">
        <f>IF(ISNUMBER(E11),IF(VAT_Return!B16="Flat Rate Scheme",0,ROUND(E11*IF(F11=0.2,0.2,IF(F11=0.05,0.05,0)),2)),0)</f>
        <v>0</v>
      </c>
      <c r="H11" s="28">
        <f t="shared" si="0"/>
        <v>0</v>
      </c>
      <c r="I11" s="29" t="str">
        <f t="shared" si="1"/>
        <v/>
      </c>
    </row>
    <row r="12" spans="1:9" ht="16.5" customHeight="1" x14ac:dyDescent="0.25">
      <c r="A12" s="22">
        <v>8</v>
      </c>
      <c r="B12" s="23"/>
      <c r="C12" s="24"/>
      <c r="D12" s="25"/>
      <c r="E12" s="26"/>
      <c r="F12" s="27">
        <v>0.2</v>
      </c>
      <c r="G12" s="28">
        <f>IF(ISNUMBER(E12),IF(VAT_Return!B16="Flat Rate Scheme",0,ROUND(E12*IF(F12=0.2,0.2,IF(F12=0.05,0.05,0)),2)),0)</f>
        <v>0</v>
      </c>
      <c r="H12" s="28">
        <f t="shared" si="0"/>
        <v>0</v>
      </c>
      <c r="I12" s="30" t="str">
        <f t="shared" si="1"/>
        <v/>
      </c>
    </row>
    <row r="13" spans="1:9" ht="16.5" customHeight="1" x14ac:dyDescent="0.25">
      <c r="A13" s="22">
        <v>9</v>
      </c>
      <c r="B13" s="23"/>
      <c r="C13" s="24"/>
      <c r="D13" s="25"/>
      <c r="E13" s="26"/>
      <c r="F13" s="27">
        <v>0.2</v>
      </c>
      <c r="G13" s="28">
        <f>IF(ISNUMBER(E13),IF(VAT_Return!B16="Flat Rate Scheme",0,ROUND(E13*IF(F13=0.2,0.2,IF(F13=0.05,0.05,0)),2)),0)</f>
        <v>0</v>
      </c>
      <c r="H13" s="28">
        <f t="shared" si="0"/>
        <v>0</v>
      </c>
      <c r="I13" s="29" t="str">
        <f t="shared" si="1"/>
        <v/>
      </c>
    </row>
    <row r="14" spans="1:9" ht="16.5" customHeight="1" x14ac:dyDescent="0.25">
      <c r="A14" s="22">
        <v>10</v>
      </c>
      <c r="B14" s="23"/>
      <c r="C14" s="24"/>
      <c r="D14" s="25"/>
      <c r="E14" s="26"/>
      <c r="F14" s="27">
        <v>0.2</v>
      </c>
      <c r="G14" s="28">
        <f>IF(ISNUMBER(E14),IF(VAT_Return!B16="Flat Rate Scheme",0,ROUND(E14*IF(F14=0.2,0.2,IF(F14=0.05,0.05,0)),2)),0)</f>
        <v>0</v>
      </c>
      <c r="H14" s="28">
        <f t="shared" si="0"/>
        <v>0</v>
      </c>
      <c r="I14" s="30" t="str">
        <f t="shared" si="1"/>
        <v/>
      </c>
    </row>
    <row r="15" spans="1:9" ht="16.5" customHeight="1" x14ac:dyDescent="0.25">
      <c r="A15" s="22">
        <v>11</v>
      </c>
      <c r="B15" s="23"/>
      <c r="C15" s="24"/>
      <c r="D15" s="25"/>
      <c r="E15" s="26"/>
      <c r="F15" s="27">
        <v>0.2</v>
      </c>
      <c r="G15" s="28">
        <f>IF(ISNUMBER(E15),IF(VAT_Return!B16="Flat Rate Scheme",0,ROUND(E15*IF(F15=0.2,0.2,IF(F15=0.05,0.05,0)),2)),0)</f>
        <v>0</v>
      </c>
      <c r="H15" s="28">
        <f t="shared" si="0"/>
        <v>0</v>
      </c>
      <c r="I15" s="29" t="str">
        <f t="shared" si="1"/>
        <v/>
      </c>
    </row>
    <row r="16" spans="1:9" ht="16.5" customHeight="1" x14ac:dyDescent="0.25">
      <c r="A16" s="22">
        <v>12</v>
      </c>
      <c r="B16" s="23"/>
      <c r="C16" s="24"/>
      <c r="D16" s="25"/>
      <c r="E16" s="26"/>
      <c r="F16" s="27">
        <v>0.2</v>
      </c>
      <c r="G16" s="28">
        <f>IF(ISNUMBER(E16),IF(VAT_Return!B16="Flat Rate Scheme",0,ROUND(E16*IF(F16=0.2,0.2,IF(F16=0.05,0.05,0)),2)),0)</f>
        <v>0</v>
      </c>
      <c r="H16" s="28">
        <f t="shared" si="0"/>
        <v>0</v>
      </c>
      <c r="I16" s="30" t="str">
        <f t="shared" si="1"/>
        <v/>
      </c>
    </row>
    <row r="17" spans="1:9" ht="16.5" customHeight="1" x14ac:dyDescent="0.25">
      <c r="A17" s="22">
        <v>13</v>
      </c>
      <c r="B17" s="23"/>
      <c r="C17" s="24"/>
      <c r="D17" s="25"/>
      <c r="E17" s="26"/>
      <c r="F17" s="27">
        <v>0.2</v>
      </c>
      <c r="G17" s="28">
        <f>IF(ISNUMBER(E17),IF(VAT_Return!B16="Flat Rate Scheme",0,ROUND(E17*IF(F17=0.2,0.2,IF(F17=0.05,0.05,0)),2)),0)</f>
        <v>0</v>
      </c>
      <c r="H17" s="28">
        <f t="shared" si="0"/>
        <v>0</v>
      </c>
      <c r="I17" s="29" t="str">
        <f t="shared" si="1"/>
        <v/>
      </c>
    </row>
    <row r="18" spans="1:9" ht="16.5" customHeight="1" x14ac:dyDescent="0.25">
      <c r="A18" s="22">
        <v>14</v>
      </c>
      <c r="B18" s="23"/>
      <c r="C18" s="24"/>
      <c r="D18" s="25"/>
      <c r="E18" s="26"/>
      <c r="F18" s="27">
        <v>0.2</v>
      </c>
      <c r="G18" s="28">
        <f>IF(ISNUMBER(E18),IF(VAT_Return!B16="Flat Rate Scheme",0,ROUND(E18*IF(F18=0.2,0.2,IF(F18=0.05,0.05,0)),2)),0)</f>
        <v>0</v>
      </c>
      <c r="H18" s="28">
        <f t="shared" si="0"/>
        <v>0</v>
      </c>
      <c r="I18" s="30" t="str">
        <f t="shared" si="1"/>
        <v/>
      </c>
    </row>
    <row r="19" spans="1:9" ht="16.5" customHeight="1" x14ac:dyDescent="0.25">
      <c r="A19" s="22">
        <v>15</v>
      </c>
      <c r="B19" s="23"/>
      <c r="C19" s="24"/>
      <c r="D19" s="25"/>
      <c r="E19" s="26"/>
      <c r="F19" s="27">
        <v>0.2</v>
      </c>
      <c r="G19" s="28">
        <f>IF(ISNUMBER(E19),IF(VAT_Return!B16="Flat Rate Scheme",0,ROUND(E19*IF(F19=0.2,0.2,IF(F19=0.05,0.05,0)),2)),0)</f>
        <v>0</v>
      </c>
      <c r="H19" s="28">
        <f t="shared" si="0"/>
        <v>0</v>
      </c>
      <c r="I19" s="29" t="str">
        <f t="shared" si="1"/>
        <v/>
      </c>
    </row>
    <row r="20" spans="1:9" ht="16.5" customHeight="1" x14ac:dyDescent="0.25">
      <c r="A20" s="22">
        <v>16</v>
      </c>
      <c r="B20" s="23"/>
      <c r="C20" s="24"/>
      <c r="D20" s="25"/>
      <c r="E20" s="26"/>
      <c r="F20" s="27">
        <v>0.2</v>
      </c>
      <c r="G20" s="28">
        <f>IF(ISNUMBER(E20),IF(VAT_Return!B16="Flat Rate Scheme",0,ROUND(E20*IF(F20=0.2,0.2,IF(F20=0.05,0.05,0)),2)),0)</f>
        <v>0</v>
      </c>
      <c r="H20" s="28">
        <f t="shared" si="0"/>
        <v>0</v>
      </c>
      <c r="I20" s="30" t="str">
        <f t="shared" si="1"/>
        <v/>
      </c>
    </row>
    <row r="21" spans="1:9" ht="16.5" customHeight="1" x14ac:dyDescent="0.25">
      <c r="A21" s="22">
        <v>17</v>
      </c>
      <c r="B21" s="23"/>
      <c r="C21" s="24"/>
      <c r="D21" s="25"/>
      <c r="E21" s="26"/>
      <c r="F21" s="27">
        <v>0.2</v>
      </c>
      <c r="G21" s="28">
        <f>IF(ISNUMBER(E21),IF(VAT_Return!B16="Flat Rate Scheme",0,ROUND(E21*IF(F21=0.2,0.2,IF(F21=0.05,0.05,0)),2)),0)</f>
        <v>0</v>
      </c>
      <c r="H21" s="28">
        <f t="shared" si="0"/>
        <v>0</v>
      </c>
      <c r="I21" s="29" t="str">
        <f t="shared" si="1"/>
        <v/>
      </c>
    </row>
    <row r="22" spans="1:9" ht="16.5" customHeight="1" x14ac:dyDescent="0.25">
      <c r="A22" s="22">
        <v>18</v>
      </c>
      <c r="B22" s="23"/>
      <c r="C22" s="24"/>
      <c r="D22" s="25"/>
      <c r="E22" s="26"/>
      <c r="F22" s="27">
        <v>0.2</v>
      </c>
      <c r="G22" s="28">
        <f>IF(ISNUMBER(E22),IF(VAT_Return!B16="Flat Rate Scheme",0,ROUND(E22*IF(F22=0.2,0.2,IF(F22=0.05,0.05,0)),2)),0)</f>
        <v>0</v>
      </c>
      <c r="H22" s="28">
        <f t="shared" si="0"/>
        <v>0</v>
      </c>
      <c r="I22" s="30" t="str">
        <f t="shared" si="1"/>
        <v/>
      </c>
    </row>
    <row r="23" spans="1:9" ht="16.5" customHeight="1" x14ac:dyDescent="0.25">
      <c r="A23" s="22">
        <v>19</v>
      </c>
      <c r="B23" s="23"/>
      <c r="C23" s="24"/>
      <c r="D23" s="25"/>
      <c r="E23" s="26"/>
      <c r="F23" s="27">
        <v>0.2</v>
      </c>
      <c r="G23" s="28">
        <f>IF(ISNUMBER(E23),IF(VAT_Return!B16="Flat Rate Scheme",0,ROUND(E23*IF(F23=0.2,0.2,IF(F23=0.05,0.05,0)),2)),0)</f>
        <v>0</v>
      </c>
      <c r="H23" s="28">
        <f t="shared" si="0"/>
        <v>0</v>
      </c>
      <c r="I23" s="29" t="str">
        <f t="shared" si="1"/>
        <v/>
      </c>
    </row>
    <row r="24" spans="1:9" ht="16.5" customHeight="1" x14ac:dyDescent="0.25">
      <c r="A24" s="22">
        <v>20</v>
      </c>
      <c r="B24" s="23"/>
      <c r="C24" s="24"/>
      <c r="D24" s="25"/>
      <c r="E24" s="26"/>
      <c r="F24" s="27">
        <v>0.2</v>
      </c>
      <c r="G24" s="28">
        <f>IF(ISNUMBER(E24),IF(VAT_Return!B16="Flat Rate Scheme",0,ROUND(E24*IF(F24=0.2,0.2,IF(F24=0.05,0.05,0)),2)),0)</f>
        <v>0</v>
      </c>
      <c r="H24" s="28">
        <f t="shared" si="0"/>
        <v>0</v>
      </c>
      <c r="I24" s="30" t="str">
        <f t="shared" si="1"/>
        <v/>
      </c>
    </row>
    <row r="25" spans="1:9" ht="16.5" customHeight="1" x14ac:dyDescent="0.25">
      <c r="A25" s="22">
        <v>21</v>
      </c>
      <c r="B25" s="23"/>
      <c r="C25" s="24"/>
      <c r="D25" s="25"/>
      <c r="E25" s="26"/>
      <c r="F25" s="27">
        <v>0.2</v>
      </c>
      <c r="G25" s="28">
        <f>IF(ISNUMBER(E25),IF(VAT_Return!B16="Flat Rate Scheme",0,ROUND(E25*IF(F25=0.2,0.2,IF(F25=0.05,0.05,0)),2)),0)</f>
        <v>0</v>
      </c>
      <c r="H25" s="28">
        <f t="shared" si="0"/>
        <v>0</v>
      </c>
      <c r="I25" s="29" t="str">
        <f t="shared" si="1"/>
        <v/>
      </c>
    </row>
    <row r="26" spans="1:9" ht="16.5" customHeight="1" x14ac:dyDescent="0.25">
      <c r="A26" s="22">
        <v>22</v>
      </c>
      <c r="B26" s="23"/>
      <c r="C26" s="24"/>
      <c r="D26" s="25"/>
      <c r="E26" s="26"/>
      <c r="F26" s="27">
        <v>0.2</v>
      </c>
      <c r="G26" s="28">
        <f>IF(ISNUMBER(E26),IF(VAT_Return!B16="Flat Rate Scheme",0,ROUND(E26*IF(F26=0.2,0.2,IF(F26=0.05,0.05,0)),2)),0)</f>
        <v>0</v>
      </c>
      <c r="H26" s="28">
        <f t="shared" si="0"/>
        <v>0</v>
      </c>
      <c r="I26" s="30" t="str">
        <f t="shared" si="1"/>
        <v/>
      </c>
    </row>
    <row r="27" spans="1:9" ht="16.5" customHeight="1" x14ac:dyDescent="0.25">
      <c r="A27" s="22">
        <v>23</v>
      </c>
      <c r="B27" s="23"/>
      <c r="C27" s="24"/>
      <c r="D27" s="25"/>
      <c r="E27" s="26"/>
      <c r="F27" s="27">
        <v>0.2</v>
      </c>
      <c r="G27" s="28">
        <f>IF(ISNUMBER(E27),IF(VAT_Return!B16="Flat Rate Scheme",0,ROUND(E27*IF(F27=0.2,0.2,IF(F27=0.05,0.05,0)),2)),0)</f>
        <v>0</v>
      </c>
      <c r="H27" s="28">
        <f t="shared" si="0"/>
        <v>0</v>
      </c>
      <c r="I27" s="29" t="str">
        <f t="shared" si="1"/>
        <v/>
      </c>
    </row>
    <row r="28" spans="1:9" ht="16.5" customHeight="1" x14ac:dyDescent="0.25">
      <c r="A28" s="22">
        <v>24</v>
      </c>
      <c r="B28" s="23"/>
      <c r="C28" s="24"/>
      <c r="D28" s="25"/>
      <c r="E28" s="26"/>
      <c r="F28" s="27">
        <v>0.2</v>
      </c>
      <c r="G28" s="28">
        <f>IF(ISNUMBER(E28),IF(VAT_Return!B16="Flat Rate Scheme",0,ROUND(E28*IF(F28=0.2,0.2,IF(F28=0.05,0.05,0)),2)),0)</f>
        <v>0</v>
      </c>
      <c r="H28" s="28">
        <f t="shared" si="0"/>
        <v>0</v>
      </c>
      <c r="I28" s="30" t="str">
        <f t="shared" si="1"/>
        <v/>
      </c>
    </row>
    <row r="29" spans="1:9" ht="16.5" customHeight="1" x14ac:dyDescent="0.25">
      <c r="A29" s="22">
        <v>25</v>
      </c>
      <c r="B29" s="23"/>
      <c r="C29" s="24"/>
      <c r="D29" s="25"/>
      <c r="E29" s="26"/>
      <c r="F29" s="27">
        <v>0.2</v>
      </c>
      <c r="G29" s="28">
        <f>IF(ISNUMBER(E29),IF(VAT_Return!B16="Flat Rate Scheme",0,ROUND(E29*IF(F29=0.2,0.2,IF(F29=0.05,0.05,0)),2)),0)</f>
        <v>0</v>
      </c>
      <c r="H29" s="28">
        <f t="shared" si="0"/>
        <v>0</v>
      </c>
      <c r="I29" s="29" t="str">
        <f t="shared" si="1"/>
        <v/>
      </c>
    </row>
    <row r="30" spans="1:9" ht="16.5" customHeight="1" x14ac:dyDescent="0.25">
      <c r="A30" s="22">
        <v>26</v>
      </c>
      <c r="B30" s="23"/>
      <c r="C30" s="24"/>
      <c r="D30" s="25"/>
      <c r="E30" s="26"/>
      <c r="F30" s="27">
        <v>0.2</v>
      </c>
      <c r="G30" s="28">
        <f>IF(ISNUMBER(E30),IF(VAT_Return!B16="Flat Rate Scheme",0,ROUND(E30*IF(F30=0.2,0.2,IF(F30=0.05,0.05,0)),2)),0)</f>
        <v>0</v>
      </c>
      <c r="H30" s="28">
        <f t="shared" si="0"/>
        <v>0</v>
      </c>
      <c r="I30" s="30" t="str">
        <f t="shared" si="1"/>
        <v/>
      </c>
    </row>
    <row r="31" spans="1:9" ht="16.5" customHeight="1" x14ac:dyDescent="0.25">
      <c r="A31" s="22">
        <v>27</v>
      </c>
      <c r="B31" s="23"/>
      <c r="C31" s="24"/>
      <c r="D31" s="25"/>
      <c r="E31" s="26"/>
      <c r="F31" s="27">
        <v>0.2</v>
      </c>
      <c r="G31" s="28">
        <f>IF(ISNUMBER(E31),IF(VAT_Return!B16="Flat Rate Scheme",0,ROUND(E31*IF(F31=0.2,0.2,IF(F31=0.05,0.05,0)),2)),0)</f>
        <v>0</v>
      </c>
      <c r="H31" s="28">
        <f t="shared" si="0"/>
        <v>0</v>
      </c>
      <c r="I31" s="29" t="str">
        <f t="shared" si="1"/>
        <v/>
      </c>
    </row>
    <row r="32" spans="1:9" ht="16.5" customHeight="1" x14ac:dyDescent="0.25">
      <c r="A32" s="22">
        <v>28</v>
      </c>
      <c r="B32" s="23"/>
      <c r="C32" s="24"/>
      <c r="D32" s="25"/>
      <c r="E32" s="26"/>
      <c r="F32" s="27">
        <v>0.2</v>
      </c>
      <c r="G32" s="28">
        <f>IF(ISNUMBER(E32),IF(VAT_Return!B16="Flat Rate Scheme",0,ROUND(E32*IF(F32=0.2,0.2,IF(F32=0.05,0.05,0)),2)),0)</f>
        <v>0</v>
      </c>
      <c r="H32" s="28">
        <f t="shared" si="0"/>
        <v>0</v>
      </c>
      <c r="I32" s="30" t="str">
        <f t="shared" si="1"/>
        <v/>
      </c>
    </row>
    <row r="33" spans="1:9" ht="16.5" customHeight="1" x14ac:dyDescent="0.25">
      <c r="A33" s="22">
        <v>29</v>
      </c>
      <c r="B33" s="23"/>
      <c r="C33" s="24"/>
      <c r="D33" s="25"/>
      <c r="E33" s="26"/>
      <c r="F33" s="27">
        <v>0.2</v>
      </c>
      <c r="G33" s="28">
        <f>IF(ISNUMBER(E33),IF(VAT_Return!B16="Flat Rate Scheme",0,ROUND(E33*IF(F33=0.2,0.2,IF(F33=0.05,0.05,0)),2)),0)</f>
        <v>0</v>
      </c>
      <c r="H33" s="28">
        <f t="shared" si="0"/>
        <v>0</v>
      </c>
      <c r="I33" s="29" t="str">
        <f t="shared" si="1"/>
        <v/>
      </c>
    </row>
    <row r="34" spans="1:9" ht="16.5" customHeight="1" x14ac:dyDescent="0.25">
      <c r="A34" s="22">
        <v>30</v>
      </c>
      <c r="B34" s="23"/>
      <c r="C34" s="24"/>
      <c r="D34" s="25"/>
      <c r="E34" s="26"/>
      <c r="F34" s="27">
        <v>0.2</v>
      </c>
      <c r="G34" s="28">
        <f>IF(ISNUMBER(E34),IF(VAT_Return!B16="Flat Rate Scheme",0,ROUND(E34*IF(F34=0.2,0.2,IF(F34=0.05,0.05,0)),2)),0)</f>
        <v>0</v>
      </c>
      <c r="H34" s="28">
        <f t="shared" si="0"/>
        <v>0</v>
      </c>
      <c r="I34" s="30" t="str">
        <f t="shared" si="1"/>
        <v/>
      </c>
    </row>
    <row r="35" spans="1:9" ht="16.5" customHeight="1" x14ac:dyDescent="0.25">
      <c r="A35" s="22">
        <v>31</v>
      </c>
      <c r="B35" s="23"/>
      <c r="C35" s="24"/>
      <c r="D35" s="25"/>
      <c r="E35" s="26"/>
      <c r="F35" s="27">
        <v>0.2</v>
      </c>
      <c r="G35" s="28">
        <f>IF(ISNUMBER(E35),IF(VAT_Return!B16="Flat Rate Scheme",0,ROUND(E35*IF(F35=0.2,0.2,IF(F35=0.05,0.05,0)),2)),0)</f>
        <v>0</v>
      </c>
      <c r="H35" s="28">
        <f t="shared" si="0"/>
        <v>0</v>
      </c>
      <c r="I35" s="29" t="str">
        <f t="shared" si="1"/>
        <v/>
      </c>
    </row>
    <row r="36" spans="1:9" ht="16.5" customHeight="1" x14ac:dyDescent="0.25">
      <c r="A36" s="22">
        <v>32</v>
      </c>
      <c r="B36" s="23"/>
      <c r="C36" s="24"/>
      <c r="D36" s="25"/>
      <c r="E36" s="26"/>
      <c r="F36" s="27">
        <v>0.2</v>
      </c>
      <c r="G36" s="28">
        <f>IF(ISNUMBER(E36),IF(VAT_Return!B16="Flat Rate Scheme",0,ROUND(E36*IF(F36=0.2,0.2,IF(F36=0.05,0.05,0)),2)),0)</f>
        <v>0</v>
      </c>
      <c r="H36" s="28">
        <f t="shared" si="0"/>
        <v>0</v>
      </c>
      <c r="I36" s="30" t="str">
        <f t="shared" si="1"/>
        <v/>
      </c>
    </row>
    <row r="37" spans="1:9" ht="16.5" customHeight="1" x14ac:dyDescent="0.25">
      <c r="A37" s="22">
        <v>33</v>
      </c>
      <c r="B37" s="23"/>
      <c r="C37" s="24"/>
      <c r="D37" s="25"/>
      <c r="E37" s="26"/>
      <c r="F37" s="27">
        <v>0.2</v>
      </c>
      <c r="G37" s="28">
        <f>IF(ISNUMBER(E37),IF(VAT_Return!B16="Flat Rate Scheme",0,ROUND(E37*IF(F37=0.2,0.2,IF(F37=0.05,0.05,0)),2)),0)</f>
        <v>0</v>
      </c>
      <c r="H37" s="28">
        <f t="shared" ref="H37:H68" si="2">IF(ISNUMBER(E37),ROUND(E37+G37,2),0)</f>
        <v>0</v>
      </c>
      <c r="I37" s="29" t="str">
        <f t="shared" ref="I37:I68" si="3">IF(E37="","",IF(ISNUMBER(E37),IF(E37&gt;0,"✓ OK","⚠ Check Net"),"⚠ Not a number"))</f>
        <v/>
      </c>
    </row>
    <row r="38" spans="1:9" ht="16.5" customHeight="1" x14ac:dyDescent="0.25">
      <c r="A38" s="22">
        <v>34</v>
      </c>
      <c r="B38" s="23"/>
      <c r="C38" s="24"/>
      <c r="D38" s="25"/>
      <c r="E38" s="26"/>
      <c r="F38" s="27">
        <v>0.2</v>
      </c>
      <c r="G38" s="28">
        <f>IF(ISNUMBER(E38),IF(VAT_Return!B16="Flat Rate Scheme",0,ROUND(E38*IF(F38=0.2,0.2,IF(F38=0.05,0.05,0)),2)),0)</f>
        <v>0</v>
      </c>
      <c r="H38" s="28">
        <f t="shared" si="2"/>
        <v>0</v>
      </c>
      <c r="I38" s="30" t="str">
        <f t="shared" si="3"/>
        <v/>
      </c>
    </row>
    <row r="39" spans="1:9" ht="16.5" customHeight="1" x14ac:dyDescent="0.25">
      <c r="A39" s="22">
        <v>35</v>
      </c>
      <c r="B39" s="23"/>
      <c r="C39" s="24"/>
      <c r="D39" s="25"/>
      <c r="E39" s="26"/>
      <c r="F39" s="27">
        <v>0.2</v>
      </c>
      <c r="G39" s="28">
        <f>IF(ISNUMBER(E39),IF(VAT_Return!B16="Flat Rate Scheme",0,ROUND(E39*IF(F39=0.2,0.2,IF(F39=0.05,0.05,0)),2)),0)</f>
        <v>0</v>
      </c>
      <c r="H39" s="28">
        <f t="shared" si="2"/>
        <v>0</v>
      </c>
      <c r="I39" s="29" t="str">
        <f t="shared" si="3"/>
        <v/>
      </c>
    </row>
    <row r="40" spans="1:9" ht="16.5" customHeight="1" x14ac:dyDescent="0.25">
      <c r="A40" s="22">
        <v>36</v>
      </c>
      <c r="B40" s="23"/>
      <c r="C40" s="24"/>
      <c r="D40" s="25"/>
      <c r="E40" s="26"/>
      <c r="F40" s="27">
        <v>0.2</v>
      </c>
      <c r="G40" s="28">
        <f>IF(ISNUMBER(E40),IF(VAT_Return!B16="Flat Rate Scheme",0,ROUND(E40*IF(F40=0.2,0.2,IF(F40=0.05,0.05,0)),2)),0)</f>
        <v>0</v>
      </c>
      <c r="H40" s="28">
        <f t="shared" si="2"/>
        <v>0</v>
      </c>
      <c r="I40" s="30" t="str">
        <f t="shared" si="3"/>
        <v/>
      </c>
    </row>
    <row r="41" spans="1:9" ht="16.5" customHeight="1" x14ac:dyDescent="0.25">
      <c r="A41" s="22">
        <v>37</v>
      </c>
      <c r="B41" s="23"/>
      <c r="C41" s="24"/>
      <c r="D41" s="25"/>
      <c r="E41" s="26"/>
      <c r="F41" s="27">
        <v>0.2</v>
      </c>
      <c r="G41" s="28">
        <f>IF(ISNUMBER(E41),IF(VAT_Return!B16="Flat Rate Scheme",0,ROUND(E41*IF(F41=0.2,0.2,IF(F41=0.05,0.05,0)),2)),0)</f>
        <v>0</v>
      </c>
      <c r="H41" s="28">
        <f t="shared" si="2"/>
        <v>0</v>
      </c>
      <c r="I41" s="29" t="str">
        <f t="shared" si="3"/>
        <v/>
      </c>
    </row>
    <row r="42" spans="1:9" ht="16.5" customHeight="1" x14ac:dyDescent="0.25">
      <c r="A42" s="22">
        <v>38</v>
      </c>
      <c r="B42" s="23"/>
      <c r="C42" s="24"/>
      <c r="D42" s="25"/>
      <c r="E42" s="26"/>
      <c r="F42" s="27">
        <v>0.2</v>
      </c>
      <c r="G42" s="28">
        <f>IF(ISNUMBER(E42),IF(VAT_Return!B16="Flat Rate Scheme",0,ROUND(E42*IF(F42=0.2,0.2,IF(F42=0.05,0.05,0)),2)),0)</f>
        <v>0</v>
      </c>
      <c r="H42" s="28">
        <f t="shared" si="2"/>
        <v>0</v>
      </c>
      <c r="I42" s="30" t="str">
        <f t="shared" si="3"/>
        <v/>
      </c>
    </row>
    <row r="43" spans="1:9" ht="16.5" customHeight="1" x14ac:dyDescent="0.25">
      <c r="A43" s="22">
        <v>39</v>
      </c>
      <c r="B43" s="23"/>
      <c r="C43" s="24"/>
      <c r="D43" s="25"/>
      <c r="E43" s="26"/>
      <c r="F43" s="27">
        <v>0.2</v>
      </c>
      <c r="G43" s="28">
        <f>IF(ISNUMBER(E43),IF(VAT_Return!B16="Flat Rate Scheme",0,ROUND(E43*IF(F43=0.2,0.2,IF(F43=0.05,0.05,0)),2)),0)</f>
        <v>0</v>
      </c>
      <c r="H43" s="28">
        <f t="shared" si="2"/>
        <v>0</v>
      </c>
      <c r="I43" s="29" t="str">
        <f t="shared" si="3"/>
        <v/>
      </c>
    </row>
    <row r="44" spans="1:9" ht="16.5" customHeight="1" x14ac:dyDescent="0.25">
      <c r="A44" s="22">
        <v>40</v>
      </c>
      <c r="B44" s="23"/>
      <c r="C44" s="24"/>
      <c r="D44" s="25"/>
      <c r="E44" s="26"/>
      <c r="F44" s="27">
        <v>0.2</v>
      </c>
      <c r="G44" s="28">
        <f>IF(ISNUMBER(E44),IF(VAT_Return!B16="Flat Rate Scheme",0,ROUND(E44*IF(F44=0.2,0.2,IF(F44=0.05,0.05,0)),2)),0)</f>
        <v>0</v>
      </c>
      <c r="H44" s="28">
        <f t="shared" si="2"/>
        <v>0</v>
      </c>
      <c r="I44" s="30" t="str">
        <f t="shared" si="3"/>
        <v/>
      </c>
    </row>
    <row r="45" spans="1:9" ht="16.5" customHeight="1" x14ac:dyDescent="0.25">
      <c r="A45" s="22">
        <v>41</v>
      </c>
      <c r="B45" s="23"/>
      <c r="C45" s="24"/>
      <c r="D45" s="25"/>
      <c r="E45" s="26"/>
      <c r="F45" s="27">
        <v>0.2</v>
      </c>
      <c r="G45" s="28">
        <f>IF(ISNUMBER(E45),IF(VAT_Return!B16="Flat Rate Scheme",0,ROUND(E45*IF(F45=0.2,0.2,IF(F45=0.05,0.05,0)),2)),0)</f>
        <v>0</v>
      </c>
      <c r="H45" s="28">
        <f t="shared" si="2"/>
        <v>0</v>
      </c>
      <c r="I45" s="29" t="str">
        <f t="shared" si="3"/>
        <v/>
      </c>
    </row>
    <row r="46" spans="1:9" ht="16.5" customHeight="1" x14ac:dyDescent="0.25">
      <c r="A46" s="22">
        <v>42</v>
      </c>
      <c r="B46" s="23"/>
      <c r="C46" s="24"/>
      <c r="D46" s="25"/>
      <c r="E46" s="26"/>
      <c r="F46" s="27">
        <v>0.2</v>
      </c>
      <c r="G46" s="28">
        <f>IF(ISNUMBER(E46),IF(VAT_Return!B16="Flat Rate Scheme",0,ROUND(E46*IF(F46=0.2,0.2,IF(F46=0.05,0.05,0)),2)),0)</f>
        <v>0</v>
      </c>
      <c r="H46" s="28">
        <f t="shared" si="2"/>
        <v>0</v>
      </c>
      <c r="I46" s="30" t="str">
        <f t="shared" si="3"/>
        <v/>
      </c>
    </row>
    <row r="47" spans="1:9" ht="16.5" customHeight="1" x14ac:dyDescent="0.25">
      <c r="A47" s="22">
        <v>43</v>
      </c>
      <c r="B47" s="23"/>
      <c r="C47" s="24"/>
      <c r="D47" s="25"/>
      <c r="E47" s="26"/>
      <c r="F47" s="27">
        <v>0.2</v>
      </c>
      <c r="G47" s="28">
        <f>IF(ISNUMBER(E47),IF(VAT_Return!B16="Flat Rate Scheme",0,ROUND(E47*IF(F47=0.2,0.2,IF(F47=0.05,0.05,0)),2)),0)</f>
        <v>0</v>
      </c>
      <c r="H47" s="28">
        <f t="shared" si="2"/>
        <v>0</v>
      </c>
      <c r="I47" s="29" t="str">
        <f t="shared" si="3"/>
        <v/>
      </c>
    </row>
    <row r="48" spans="1:9" ht="16.5" customHeight="1" x14ac:dyDescent="0.25">
      <c r="A48" s="22">
        <v>44</v>
      </c>
      <c r="B48" s="23"/>
      <c r="C48" s="24"/>
      <c r="D48" s="25"/>
      <c r="E48" s="26"/>
      <c r="F48" s="27">
        <v>0.2</v>
      </c>
      <c r="G48" s="28">
        <f>IF(ISNUMBER(E48),IF(VAT_Return!B16="Flat Rate Scheme",0,ROUND(E48*IF(F48=0.2,0.2,IF(F48=0.05,0.05,0)),2)),0)</f>
        <v>0</v>
      </c>
      <c r="H48" s="28">
        <f t="shared" si="2"/>
        <v>0</v>
      </c>
      <c r="I48" s="30" t="str">
        <f t="shared" si="3"/>
        <v/>
      </c>
    </row>
    <row r="49" spans="1:9" ht="16.5" customHeight="1" x14ac:dyDescent="0.25">
      <c r="A49" s="22">
        <v>45</v>
      </c>
      <c r="B49" s="23"/>
      <c r="C49" s="24"/>
      <c r="D49" s="25"/>
      <c r="E49" s="26"/>
      <c r="F49" s="27">
        <v>0.2</v>
      </c>
      <c r="G49" s="28">
        <f>IF(ISNUMBER(E49),IF(VAT_Return!B16="Flat Rate Scheme",0,ROUND(E49*IF(F49=0.2,0.2,IF(F49=0.05,0.05,0)),2)),0)</f>
        <v>0</v>
      </c>
      <c r="H49" s="28">
        <f t="shared" si="2"/>
        <v>0</v>
      </c>
      <c r="I49" s="29" t="str">
        <f t="shared" si="3"/>
        <v/>
      </c>
    </row>
    <row r="50" spans="1:9" ht="16.5" customHeight="1" x14ac:dyDescent="0.25">
      <c r="A50" s="22">
        <v>46</v>
      </c>
      <c r="B50" s="23"/>
      <c r="C50" s="24"/>
      <c r="D50" s="25"/>
      <c r="E50" s="26"/>
      <c r="F50" s="27">
        <v>0.2</v>
      </c>
      <c r="G50" s="28">
        <f>IF(ISNUMBER(E50),IF(VAT_Return!B16="Flat Rate Scheme",0,ROUND(E50*IF(F50=0.2,0.2,IF(F50=0.05,0.05,0)),2)),0)</f>
        <v>0</v>
      </c>
      <c r="H50" s="28">
        <f t="shared" si="2"/>
        <v>0</v>
      </c>
      <c r="I50" s="30" t="str">
        <f t="shared" si="3"/>
        <v/>
      </c>
    </row>
    <row r="51" spans="1:9" ht="16.5" customHeight="1" x14ac:dyDescent="0.25">
      <c r="A51" s="22">
        <v>47</v>
      </c>
      <c r="B51" s="23"/>
      <c r="C51" s="24"/>
      <c r="D51" s="25"/>
      <c r="E51" s="26"/>
      <c r="F51" s="27">
        <v>0.2</v>
      </c>
      <c r="G51" s="28">
        <f>IF(ISNUMBER(E51),IF(VAT_Return!B16="Flat Rate Scheme",0,ROUND(E51*IF(F51=0.2,0.2,IF(F51=0.05,0.05,0)),2)),0)</f>
        <v>0</v>
      </c>
      <c r="H51" s="28">
        <f t="shared" si="2"/>
        <v>0</v>
      </c>
      <c r="I51" s="29" t="str">
        <f t="shared" si="3"/>
        <v/>
      </c>
    </row>
    <row r="52" spans="1:9" ht="16.5" customHeight="1" x14ac:dyDescent="0.25">
      <c r="A52" s="22">
        <v>48</v>
      </c>
      <c r="B52" s="23"/>
      <c r="C52" s="24"/>
      <c r="D52" s="25"/>
      <c r="E52" s="26"/>
      <c r="F52" s="27">
        <v>0.2</v>
      </c>
      <c r="G52" s="28">
        <f>IF(ISNUMBER(E52),IF(VAT_Return!B16="Flat Rate Scheme",0,ROUND(E52*IF(F52=0.2,0.2,IF(F52=0.05,0.05,0)),2)),0)</f>
        <v>0</v>
      </c>
      <c r="H52" s="28">
        <f t="shared" si="2"/>
        <v>0</v>
      </c>
      <c r="I52" s="30" t="str">
        <f t="shared" si="3"/>
        <v/>
      </c>
    </row>
    <row r="53" spans="1:9" ht="16.5" customHeight="1" x14ac:dyDescent="0.25">
      <c r="A53" s="22">
        <v>49</v>
      </c>
      <c r="B53" s="23"/>
      <c r="C53" s="24"/>
      <c r="D53" s="25"/>
      <c r="E53" s="26"/>
      <c r="F53" s="27">
        <v>0.2</v>
      </c>
      <c r="G53" s="28">
        <f>IF(ISNUMBER(E53),IF(VAT_Return!B16="Flat Rate Scheme",0,ROUND(E53*IF(F53=0.2,0.2,IF(F53=0.05,0.05,0)),2)),0)</f>
        <v>0</v>
      </c>
      <c r="H53" s="28">
        <f t="shared" si="2"/>
        <v>0</v>
      </c>
      <c r="I53" s="29" t="str">
        <f t="shared" si="3"/>
        <v/>
      </c>
    </row>
    <row r="54" spans="1:9" ht="16.5" customHeight="1" x14ac:dyDescent="0.25">
      <c r="A54" s="22">
        <v>50</v>
      </c>
      <c r="B54" s="23"/>
      <c r="C54" s="24"/>
      <c r="D54" s="25"/>
      <c r="E54" s="26"/>
      <c r="F54" s="27">
        <v>0.2</v>
      </c>
      <c r="G54" s="28">
        <f>IF(ISNUMBER(E54),IF(VAT_Return!B16="Flat Rate Scheme",0,ROUND(E54*IF(F54=0.2,0.2,IF(F54=0.05,0.05,0)),2)),0)</f>
        <v>0</v>
      </c>
      <c r="H54" s="28">
        <f t="shared" si="2"/>
        <v>0</v>
      </c>
      <c r="I54" s="30" t="str">
        <f t="shared" si="3"/>
        <v/>
      </c>
    </row>
    <row r="55" spans="1:9" ht="16.5" customHeight="1" x14ac:dyDescent="0.25">
      <c r="A55" s="22">
        <v>51</v>
      </c>
      <c r="B55" s="23"/>
      <c r="C55" s="24"/>
      <c r="D55" s="25"/>
      <c r="E55" s="26"/>
      <c r="F55" s="27">
        <v>0.2</v>
      </c>
      <c r="G55" s="28">
        <f>IF(ISNUMBER(E55),IF(VAT_Return!B16="Flat Rate Scheme",0,ROUND(E55*IF(F55=0.2,0.2,IF(F55=0.05,0.05,0)),2)),0)</f>
        <v>0</v>
      </c>
      <c r="H55" s="28">
        <f t="shared" si="2"/>
        <v>0</v>
      </c>
      <c r="I55" s="29" t="str">
        <f t="shared" si="3"/>
        <v/>
      </c>
    </row>
    <row r="56" spans="1:9" ht="16.5" customHeight="1" x14ac:dyDescent="0.25">
      <c r="A56" s="22">
        <v>52</v>
      </c>
      <c r="B56" s="23"/>
      <c r="C56" s="24"/>
      <c r="D56" s="25"/>
      <c r="E56" s="26"/>
      <c r="F56" s="27">
        <v>0.2</v>
      </c>
      <c r="G56" s="28">
        <f>IF(ISNUMBER(E56),IF(VAT_Return!B16="Flat Rate Scheme",0,ROUND(E56*IF(F56=0.2,0.2,IF(F56=0.05,0.05,0)),2)),0)</f>
        <v>0</v>
      </c>
      <c r="H56" s="28">
        <f t="shared" si="2"/>
        <v>0</v>
      </c>
      <c r="I56" s="30" t="str">
        <f t="shared" si="3"/>
        <v/>
      </c>
    </row>
    <row r="57" spans="1:9" ht="16.5" customHeight="1" x14ac:dyDescent="0.25">
      <c r="A57" s="22">
        <v>53</v>
      </c>
      <c r="B57" s="23"/>
      <c r="C57" s="24"/>
      <c r="D57" s="25"/>
      <c r="E57" s="26"/>
      <c r="F57" s="27">
        <v>0.2</v>
      </c>
      <c r="G57" s="28">
        <f>IF(ISNUMBER(E57),IF(VAT_Return!B16="Flat Rate Scheme",0,ROUND(E57*IF(F57=0.2,0.2,IF(F57=0.05,0.05,0)),2)),0)</f>
        <v>0</v>
      </c>
      <c r="H57" s="28">
        <f t="shared" si="2"/>
        <v>0</v>
      </c>
      <c r="I57" s="29" t="str">
        <f t="shared" si="3"/>
        <v/>
      </c>
    </row>
    <row r="58" spans="1:9" ht="16.5" customHeight="1" x14ac:dyDescent="0.25">
      <c r="A58" s="22">
        <v>54</v>
      </c>
      <c r="B58" s="23"/>
      <c r="C58" s="24"/>
      <c r="D58" s="25"/>
      <c r="E58" s="26"/>
      <c r="F58" s="27">
        <v>0.2</v>
      </c>
      <c r="G58" s="28">
        <f>IF(ISNUMBER(E58),IF(VAT_Return!B16="Flat Rate Scheme",0,ROUND(E58*IF(F58=0.2,0.2,IF(F58=0.05,0.05,0)),2)),0)</f>
        <v>0</v>
      </c>
      <c r="H58" s="28">
        <f t="shared" si="2"/>
        <v>0</v>
      </c>
      <c r="I58" s="30" t="str">
        <f t="shared" si="3"/>
        <v/>
      </c>
    </row>
    <row r="59" spans="1:9" ht="16.5" customHeight="1" x14ac:dyDescent="0.25">
      <c r="A59" s="22">
        <v>55</v>
      </c>
      <c r="B59" s="23"/>
      <c r="C59" s="24"/>
      <c r="D59" s="25"/>
      <c r="E59" s="26"/>
      <c r="F59" s="27">
        <v>0.2</v>
      </c>
      <c r="G59" s="28">
        <f>IF(ISNUMBER(E59),IF(VAT_Return!B16="Flat Rate Scheme",0,ROUND(E59*IF(F59=0.2,0.2,IF(F59=0.05,0.05,0)),2)),0)</f>
        <v>0</v>
      </c>
      <c r="H59" s="28">
        <f t="shared" si="2"/>
        <v>0</v>
      </c>
      <c r="I59" s="29" t="str">
        <f t="shared" si="3"/>
        <v/>
      </c>
    </row>
    <row r="60" spans="1:9" ht="16.5" customHeight="1" x14ac:dyDescent="0.25">
      <c r="A60" s="22">
        <v>56</v>
      </c>
      <c r="B60" s="23"/>
      <c r="C60" s="24"/>
      <c r="D60" s="25"/>
      <c r="E60" s="26"/>
      <c r="F60" s="27">
        <v>0.2</v>
      </c>
      <c r="G60" s="28">
        <f>IF(ISNUMBER(E60),IF(VAT_Return!B16="Flat Rate Scheme",0,ROUND(E60*IF(F60=0.2,0.2,IF(F60=0.05,0.05,0)),2)),0)</f>
        <v>0</v>
      </c>
      <c r="H60" s="28">
        <f t="shared" si="2"/>
        <v>0</v>
      </c>
      <c r="I60" s="30" t="str">
        <f t="shared" si="3"/>
        <v/>
      </c>
    </row>
    <row r="61" spans="1:9" ht="16.5" customHeight="1" x14ac:dyDescent="0.25">
      <c r="A61" s="22">
        <v>57</v>
      </c>
      <c r="B61" s="23"/>
      <c r="C61" s="24"/>
      <c r="D61" s="25"/>
      <c r="E61" s="26"/>
      <c r="F61" s="27">
        <v>0.2</v>
      </c>
      <c r="G61" s="28">
        <f>IF(ISNUMBER(E61),IF(VAT_Return!B16="Flat Rate Scheme",0,ROUND(E61*IF(F61=0.2,0.2,IF(F61=0.05,0.05,0)),2)),0)</f>
        <v>0</v>
      </c>
      <c r="H61" s="28">
        <f t="shared" si="2"/>
        <v>0</v>
      </c>
      <c r="I61" s="29" t="str">
        <f t="shared" si="3"/>
        <v/>
      </c>
    </row>
    <row r="62" spans="1:9" ht="16.5" customHeight="1" x14ac:dyDescent="0.25">
      <c r="A62" s="22">
        <v>58</v>
      </c>
      <c r="B62" s="23"/>
      <c r="C62" s="24"/>
      <c r="D62" s="25"/>
      <c r="E62" s="26"/>
      <c r="F62" s="27">
        <v>0.2</v>
      </c>
      <c r="G62" s="28">
        <f>IF(ISNUMBER(E62),IF(VAT_Return!B16="Flat Rate Scheme",0,ROUND(E62*IF(F62=0.2,0.2,IF(F62=0.05,0.05,0)),2)),0)</f>
        <v>0</v>
      </c>
      <c r="H62" s="28">
        <f t="shared" si="2"/>
        <v>0</v>
      </c>
      <c r="I62" s="30" t="str">
        <f t="shared" si="3"/>
        <v/>
      </c>
    </row>
    <row r="63" spans="1:9" ht="16.5" customHeight="1" x14ac:dyDescent="0.25">
      <c r="A63" s="22">
        <v>59</v>
      </c>
      <c r="B63" s="23"/>
      <c r="C63" s="24"/>
      <c r="D63" s="25"/>
      <c r="E63" s="26"/>
      <c r="F63" s="27">
        <v>0.2</v>
      </c>
      <c r="G63" s="28">
        <f>IF(ISNUMBER(E63),IF(VAT_Return!B16="Flat Rate Scheme",0,ROUND(E63*IF(F63=0.2,0.2,IF(F63=0.05,0.05,0)),2)),0)</f>
        <v>0</v>
      </c>
      <c r="H63" s="28">
        <f t="shared" si="2"/>
        <v>0</v>
      </c>
      <c r="I63" s="29" t="str">
        <f t="shared" si="3"/>
        <v/>
      </c>
    </row>
    <row r="64" spans="1:9" ht="16.5" customHeight="1" x14ac:dyDescent="0.25">
      <c r="A64" s="22">
        <v>60</v>
      </c>
      <c r="B64" s="23"/>
      <c r="C64" s="24"/>
      <c r="D64" s="25"/>
      <c r="E64" s="26"/>
      <c r="F64" s="27">
        <v>0.2</v>
      </c>
      <c r="G64" s="28">
        <f>IF(ISNUMBER(E64),IF(VAT_Return!B16="Flat Rate Scheme",0,ROUND(E64*IF(F64=0.2,0.2,IF(F64=0.05,0.05,0)),2)),0)</f>
        <v>0</v>
      </c>
      <c r="H64" s="28">
        <f t="shared" si="2"/>
        <v>0</v>
      </c>
      <c r="I64" s="30" t="str">
        <f t="shared" si="3"/>
        <v/>
      </c>
    </row>
    <row r="65" spans="1:9" ht="16.5" customHeight="1" x14ac:dyDescent="0.25">
      <c r="A65" s="22">
        <v>61</v>
      </c>
      <c r="B65" s="23"/>
      <c r="C65" s="24"/>
      <c r="D65" s="25"/>
      <c r="E65" s="26"/>
      <c r="F65" s="27">
        <v>0.2</v>
      </c>
      <c r="G65" s="28">
        <f>IF(ISNUMBER(E65),IF(VAT_Return!B16="Flat Rate Scheme",0,ROUND(E65*IF(F65=0.2,0.2,IF(F65=0.05,0.05,0)),2)),0)</f>
        <v>0</v>
      </c>
      <c r="H65" s="28">
        <f t="shared" si="2"/>
        <v>0</v>
      </c>
      <c r="I65" s="29" t="str">
        <f t="shared" si="3"/>
        <v/>
      </c>
    </row>
    <row r="66" spans="1:9" ht="16.5" customHeight="1" x14ac:dyDescent="0.25">
      <c r="A66" s="22">
        <v>62</v>
      </c>
      <c r="B66" s="23"/>
      <c r="C66" s="24"/>
      <c r="D66" s="25"/>
      <c r="E66" s="26"/>
      <c r="F66" s="27">
        <v>0.2</v>
      </c>
      <c r="G66" s="28">
        <f>IF(ISNUMBER(E66),IF(VAT_Return!B16="Flat Rate Scheme",0,ROUND(E66*IF(F66=0.2,0.2,IF(F66=0.05,0.05,0)),2)),0)</f>
        <v>0</v>
      </c>
      <c r="H66" s="28">
        <f t="shared" si="2"/>
        <v>0</v>
      </c>
      <c r="I66" s="30" t="str">
        <f t="shared" si="3"/>
        <v/>
      </c>
    </row>
    <row r="67" spans="1:9" ht="16.5" customHeight="1" x14ac:dyDescent="0.25">
      <c r="A67" s="22">
        <v>63</v>
      </c>
      <c r="B67" s="23"/>
      <c r="C67" s="24"/>
      <c r="D67" s="25"/>
      <c r="E67" s="26"/>
      <c r="F67" s="27">
        <v>0.2</v>
      </c>
      <c r="G67" s="28">
        <f>IF(ISNUMBER(E67),IF(VAT_Return!B16="Flat Rate Scheme",0,ROUND(E67*IF(F67=0.2,0.2,IF(F67=0.05,0.05,0)),2)),0)</f>
        <v>0</v>
      </c>
      <c r="H67" s="28">
        <f t="shared" si="2"/>
        <v>0</v>
      </c>
      <c r="I67" s="29" t="str">
        <f t="shared" si="3"/>
        <v/>
      </c>
    </row>
    <row r="68" spans="1:9" ht="16.5" customHeight="1" x14ac:dyDescent="0.25">
      <c r="A68" s="22">
        <v>64</v>
      </c>
      <c r="B68" s="23"/>
      <c r="C68" s="24"/>
      <c r="D68" s="25"/>
      <c r="E68" s="26"/>
      <c r="F68" s="27">
        <v>0.2</v>
      </c>
      <c r="G68" s="28">
        <f>IF(ISNUMBER(E68),IF(VAT_Return!B16="Flat Rate Scheme",0,ROUND(E68*IF(F68=0.2,0.2,IF(F68=0.05,0.05,0)),2)),0)</f>
        <v>0</v>
      </c>
      <c r="H68" s="28">
        <f t="shared" si="2"/>
        <v>0</v>
      </c>
      <c r="I68" s="30" t="str">
        <f t="shared" si="3"/>
        <v/>
      </c>
    </row>
    <row r="69" spans="1:9" ht="16.5" customHeight="1" x14ac:dyDescent="0.25">
      <c r="A69" s="22">
        <v>65</v>
      </c>
      <c r="B69" s="23"/>
      <c r="C69" s="24"/>
      <c r="D69" s="25"/>
      <c r="E69" s="26"/>
      <c r="F69" s="27">
        <v>0.2</v>
      </c>
      <c r="G69" s="28">
        <f>IF(ISNUMBER(E69),IF(VAT_Return!B16="Flat Rate Scheme",0,ROUND(E69*IF(F69=0.2,0.2,IF(F69=0.05,0.05,0)),2)),0)</f>
        <v>0</v>
      </c>
      <c r="H69" s="28">
        <f t="shared" ref="H69:H100" si="4">IF(ISNUMBER(E69),ROUND(E69+G69,2),0)</f>
        <v>0</v>
      </c>
      <c r="I69" s="29" t="str">
        <f t="shared" ref="I69:I100" si="5">IF(E69="","",IF(ISNUMBER(E69),IF(E69&gt;0,"✓ OK","⚠ Check Net"),"⚠ Not a number"))</f>
        <v/>
      </c>
    </row>
    <row r="70" spans="1:9" ht="16.5" customHeight="1" x14ac:dyDescent="0.25">
      <c r="A70" s="22">
        <v>66</v>
      </c>
      <c r="B70" s="23"/>
      <c r="C70" s="24"/>
      <c r="D70" s="25"/>
      <c r="E70" s="26"/>
      <c r="F70" s="27">
        <v>0.2</v>
      </c>
      <c r="G70" s="28">
        <f>IF(ISNUMBER(E70),IF(VAT_Return!B16="Flat Rate Scheme",0,ROUND(E70*IF(F70=0.2,0.2,IF(F70=0.05,0.05,0)),2)),0)</f>
        <v>0</v>
      </c>
      <c r="H70" s="28">
        <f t="shared" si="4"/>
        <v>0</v>
      </c>
      <c r="I70" s="30" t="str">
        <f t="shared" si="5"/>
        <v/>
      </c>
    </row>
    <row r="71" spans="1:9" ht="16.5" customHeight="1" x14ac:dyDescent="0.25">
      <c r="A71" s="22">
        <v>67</v>
      </c>
      <c r="B71" s="23"/>
      <c r="C71" s="24"/>
      <c r="D71" s="25"/>
      <c r="E71" s="26"/>
      <c r="F71" s="27">
        <v>0.2</v>
      </c>
      <c r="G71" s="28">
        <f>IF(ISNUMBER(E71),IF(VAT_Return!B16="Flat Rate Scheme",0,ROUND(E71*IF(F71=0.2,0.2,IF(F71=0.05,0.05,0)),2)),0)</f>
        <v>0</v>
      </c>
      <c r="H71" s="28">
        <f t="shared" si="4"/>
        <v>0</v>
      </c>
      <c r="I71" s="29" t="str">
        <f t="shared" si="5"/>
        <v/>
      </c>
    </row>
    <row r="72" spans="1:9" ht="16.5" customHeight="1" x14ac:dyDescent="0.25">
      <c r="A72" s="22">
        <v>68</v>
      </c>
      <c r="B72" s="23"/>
      <c r="C72" s="24"/>
      <c r="D72" s="25"/>
      <c r="E72" s="26"/>
      <c r="F72" s="27">
        <v>0.2</v>
      </c>
      <c r="G72" s="28">
        <f>IF(ISNUMBER(E72),IF(VAT_Return!B16="Flat Rate Scheme",0,ROUND(E72*IF(F72=0.2,0.2,IF(F72=0.05,0.05,0)),2)),0)</f>
        <v>0</v>
      </c>
      <c r="H72" s="28">
        <f t="shared" si="4"/>
        <v>0</v>
      </c>
      <c r="I72" s="30" t="str">
        <f t="shared" si="5"/>
        <v/>
      </c>
    </row>
    <row r="73" spans="1:9" ht="16.5" customHeight="1" x14ac:dyDescent="0.25">
      <c r="A73" s="22">
        <v>69</v>
      </c>
      <c r="B73" s="23"/>
      <c r="C73" s="24"/>
      <c r="D73" s="25"/>
      <c r="E73" s="26"/>
      <c r="F73" s="27">
        <v>0.2</v>
      </c>
      <c r="G73" s="28">
        <f>IF(ISNUMBER(E73),IF(VAT_Return!B16="Flat Rate Scheme",0,ROUND(E73*IF(F73=0.2,0.2,IF(F73=0.05,0.05,0)),2)),0)</f>
        <v>0</v>
      </c>
      <c r="H73" s="28">
        <f t="shared" si="4"/>
        <v>0</v>
      </c>
      <c r="I73" s="29" t="str">
        <f t="shared" si="5"/>
        <v/>
      </c>
    </row>
    <row r="74" spans="1:9" ht="16.5" customHeight="1" x14ac:dyDescent="0.25">
      <c r="A74" s="22">
        <v>70</v>
      </c>
      <c r="B74" s="23"/>
      <c r="C74" s="24"/>
      <c r="D74" s="25"/>
      <c r="E74" s="26"/>
      <c r="F74" s="27">
        <v>0.2</v>
      </c>
      <c r="G74" s="28">
        <f>IF(ISNUMBER(E74),IF(VAT_Return!B16="Flat Rate Scheme",0,ROUND(E74*IF(F74=0.2,0.2,IF(F74=0.05,0.05,0)),2)),0)</f>
        <v>0</v>
      </c>
      <c r="H74" s="28">
        <f t="shared" si="4"/>
        <v>0</v>
      </c>
      <c r="I74" s="30" t="str">
        <f t="shared" si="5"/>
        <v/>
      </c>
    </row>
    <row r="75" spans="1:9" ht="16.5" customHeight="1" x14ac:dyDescent="0.25">
      <c r="A75" s="22">
        <v>71</v>
      </c>
      <c r="B75" s="23"/>
      <c r="C75" s="24"/>
      <c r="D75" s="25"/>
      <c r="E75" s="26"/>
      <c r="F75" s="27">
        <v>0.2</v>
      </c>
      <c r="G75" s="28">
        <f>IF(ISNUMBER(E75),IF(VAT_Return!B16="Flat Rate Scheme",0,ROUND(E75*IF(F75=0.2,0.2,IF(F75=0.05,0.05,0)),2)),0)</f>
        <v>0</v>
      </c>
      <c r="H75" s="28">
        <f t="shared" si="4"/>
        <v>0</v>
      </c>
      <c r="I75" s="29" t="str">
        <f t="shared" si="5"/>
        <v/>
      </c>
    </row>
    <row r="76" spans="1:9" ht="16.5" customHeight="1" x14ac:dyDescent="0.25">
      <c r="A76" s="22">
        <v>72</v>
      </c>
      <c r="B76" s="23"/>
      <c r="C76" s="24"/>
      <c r="D76" s="25"/>
      <c r="E76" s="26"/>
      <c r="F76" s="27">
        <v>0.2</v>
      </c>
      <c r="G76" s="28">
        <f>IF(ISNUMBER(E76),IF(VAT_Return!B16="Flat Rate Scheme",0,ROUND(E76*IF(F76=0.2,0.2,IF(F76=0.05,0.05,0)),2)),0)</f>
        <v>0</v>
      </c>
      <c r="H76" s="28">
        <f t="shared" si="4"/>
        <v>0</v>
      </c>
      <c r="I76" s="30" t="str">
        <f t="shared" si="5"/>
        <v/>
      </c>
    </row>
    <row r="77" spans="1:9" ht="16.5" customHeight="1" x14ac:dyDescent="0.25">
      <c r="A77" s="22">
        <v>73</v>
      </c>
      <c r="B77" s="23"/>
      <c r="C77" s="24"/>
      <c r="D77" s="25"/>
      <c r="E77" s="26"/>
      <c r="F77" s="27">
        <v>0.2</v>
      </c>
      <c r="G77" s="28">
        <f>IF(ISNUMBER(E77),IF(VAT_Return!B16="Flat Rate Scheme",0,ROUND(E77*IF(F77=0.2,0.2,IF(F77=0.05,0.05,0)),2)),0)</f>
        <v>0</v>
      </c>
      <c r="H77" s="28">
        <f t="shared" si="4"/>
        <v>0</v>
      </c>
      <c r="I77" s="29" t="str">
        <f t="shared" si="5"/>
        <v/>
      </c>
    </row>
    <row r="78" spans="1:9" ht="16.5" customHeight="1" x14ac:dyDescent="0.25">
      <c r="A78" s="22">
        <v>74</v>
      </c>
      <c r="B78" s="23"/>
      <c r="C78" s="24"/>
      <c r="D78" s="25"/>
      <c r="E78" s="26"/>
      <c r="F78" s="27">
        <v>0.2</v>
      </c>
      <c r="G78" s="28">
        <f>IF(ISNUMBER(E78),IF(VAT_Return!B16="Flat Rate Scheme",0,ROUND(E78*IF(F78=0.2,0.2,IF(F78=0.05,0.05,0)),2)),0)</f>
        <v>0</v>
      </c>
      <c r="H78" s="28">
        <f t="shared" si="4"/>
        <v>0</v>
      </c>
      <c r="I78" s="30" t="str">
        <f t="shared" si="5"/>
        <v/>
      </c>
    </row>
    <row r="79" spans="1:9" ht="16.5" customHeight="1" x14ac:dyDescent="0.25">
      <c r="A79" s="22">
        <v>75</v>
      </c>
      <c r="B79" s="23"/>
      <c r="C79" s="24"/>
      <c r="D79" s="25"/>
      <c r="E79" s="26"/>
      <c r="F79" s="27">
        <v>0.2</v>
      </c>
      <c r="G79" s="28">
        <f>IF(ISNUMBER(E79),IF(VAT_Return!B16="Flat Rate Scheme",0,ROUND(E79*IF(F79=0.2,0.2,IF(F79=0.05,0.05,0)),2)),0)</f>
        <v>0</v>
      </c>
      <c r="H79" s="28">
        <f t="shared" si="4"/>
        <v>0</v>
      </c>
      <c r="I79" s="29" t="str">
        <f t="shared" si="5"/>
        <v/>
      </c>
    </row>
    <row r="80" spans="1:9" ht="16.5" customHeight="1" x14ac:dyDescent="0.25">
      <c r="A80" s="22">
        <v>76</v>
      </c>
      <c r="B80" s="23"/>
      <c r="C80" s="24"/>
      <c r="D80" s="25"/>
      <c r="E80" s="26"/>
      <c r="F80" s="27">
        <v>0.2</v>
      </c>
      <c r="G80" s="28">
        <f>IF(ISNUMBER(E80),IF(VAT_Return!B16="Flat Rate Scheme",0,ROUND(E80*IF(F80=0.2,0.2,IF(F80=0.05,0.05,0)),2)),0)</f>
        <v>0</v>
      </c>
      <c r="H80" s="28">
        <f t="shared" si="4"/>
        <v>0</v>
      </c>
      <c r="I80" s="30" t="str">
        <f t="shared" si="5"/>
        <v/>
      </c>
    </row>
    <row r="81" spans="1:9" ht="16.5" customHeight="1" x14ac:dyDescent="0.25">
      <c r="A81" s="22">
        <v>77</v>
      </c>
      <c r="B81" s="23"/>
      <c r="C81" s="24"/>
      <c r="D81" s="25"/>
      <c r="E81" s="26"/>
      <c r="F81" s="27">
        <v>0.2</v>
      </c>
      <c r="G81" s="28">
        <f>IF(ISNUMBER(E81),IF(VAT_Return!B16="Flat Rate Scheme",0,ROUND(E81*IF(F81=0.2,0.2,IF(F81=0.05,0.05,0)),2)),0)</f>
        <v>0</v>
      </c>
      <c r="H81" s="28">
        <f t="shared" si="4"/>
        <v>0</v>
      </c>
      <c r="I81" s="29" t="str">
        <f t="shared" si="5"/>
        <v/>
      </c>
    </row>
    <row r="82" spans="1:9" ht="16.5" customHeight="1" x14ac:dyDescent="0.25">
      <c r="A82" s="22">
        <v>78</v>
      </c>
      <c r="B82" s="23"/>
      <c r="C82" s="24"/>
      <c r="D82" s="25"/>
      <c r="E82" s="26"/>
      <c r="F82" s="27">
        <v>0.2</v>
      </c>
      <c r="G82" s="28">
        <f>IF(ISNUMBER(E82),IF(VAT_Return!B16="Flat Rate Scheme",0,ROUND(E82*IF(F82=0.2,0.2,IF(F82=0.05,0.05,0)),2)),0)</f>
        <v>0</v>
      </c>
      <c r="H82" s="28">
        <f t="shared" si="4"/>
        <v>0</v>
      </c>
      <c r="I82" s="30" t="str">
        <f t="shared" si="5"/>
        <v/>
      </c>
    </row>
    <row r="83" spans="1:9" ht="16.5" customHeight="1" x14ac:dyDescent="0.25">
      <c r="A83" s="22">
        <v>79</v>
      </c>
      <c r="B83" s="23"/>
      <c r="C83" s="24"/>
      <c r="D83" s="25"/>
      <c r="E83" s="26"/>
      <c r="F83" s="27">
        <v>0.2</v>
      </c>
      <c r="G83" s="28">
        <f>IF(ISNUMBER(E83),IF(VAT_Return!B16="Flat Rate Scheme",0,ROUND(E83*IF(F83=0.2,0.2,IF(F83=0.05,0.05,0)),2)),0)</f>
        <v>0</v>
      </c>
      <c r="H83" s="28">
        <f t="shared" si="4"/>
        <v>0</v>
      </c>
      <c r="I83" s="29" t="str">
        <f t="shared" si="5"/>
        <v/>
      </c>
    </row>
    <row r="84" spans="1:9" ht="16.5" customHeight="1" x14ac:dyDescent="0.25">
      <c r="A84" s="22">
        <v>80</v>
      </c>
      <c r="B84" s="23"/>
      <c r="C84" s="24"/>
      <c r="D84" s="25"/>
      <c r="E84" s="26"/>
      <c r="F84" s="27">
        <v>0.2</v>
      </c>
      <c r="G84" s="28">
        <f>IF(ISNUMBER(E84),IF(VAT_Return!B16="Flat Rate Scheme",0,ROUND(E84*IF(F84=0.2,0.2,IF(F84=0.05,0.05,0)),2)),0)</f>
        <v>0</v>
      </c>
      <c r="H84" s="28">
        <f t="shared" si="4"/>
        <v>0</v>
      </c>
      <c r="I84" s="30" t="str">
        <f t="shared" si="5"/>
        <v/>
      </c>
    </row>
    <row r="85" spans="1:9" ht="16.5" customHeight="1" x14ac:dyDescent="0.25">
      <c r="A85" s="22">
        <v>81</v>
      </c>
      <c r="B85" s="23"/>
      <c r="C85" s="24"/>
      <c r="D85" s="25"/>
      <c r="E85" s="26"/>
      <c r="F85" s="27">
        <v>0.2</v>
      </c>
      <c r="G85" s="28">
        <f>IF(ISNUMBER(E85),IF(VAT_Return!B16="Flat Rate Scheme",0,ROUND(E85*IF(F85=0.2,0.2,IF(F85=0.05,0.05,0)),2)),0)</f>
        <v>0</v>
      </c>
      <c r="H85" s="28">
        <f t="shared" si="4"/>
        <v>0</v>
      </c>
      <c r="I85" s="29" t="str">
        <f t="shared" si="5"/>
        <v/>
      </c>
    </row>
    <row r="86" spans="1:9" ht="16.5" customHeight="1" x14ac:dyDescent="0.25">
      <c r="A86" s="22">
        <v>82</v>
      </c>
      <c r="B86" s="23"/>
      <c r="C86" s="24"/>
      <c r="D86" s="25"/>
      <c r="E86" s="26"/>
      <c r="F86" s="27">
        <v>0.2</v>
      </c>
      <c r="G86" s="28">
        <f>IF(ISNUMBER(E86),IF(VAT_Return!B16="Flat Rate Scheme",0,ROUND(E86*IF(F86=0.2,0.2,IF(F86=0.05,0.05,0)),2)),0)</f>
        <v>0</v>
      </c>
      <c r="H86" s="28">
        <f t="shared" si="4"/>
        <v>0</v>
      </c>
      <c r="I86" s="30" t="str">
        <f t="shared" si="5"/>
        <v/>
      </c>
    </row>
    <row r="87" spans="1:9" ht="16.5" customHeight="1" x14ac:dyDescent="0.25">
      <c r="A87" s="22">
        <v>83</v>
      </c>
      <c r="B87" s="23"/>
      <c r="C87" s="24"/>
      <c r="D87" s="25"/>
      <c r="E87" s="26"/>
      <c r="F87" s="27">
        <v>0.2</v>
      </c>
      <c r="G87" s="28">
        <f>IF(ISNUMBER(E87),IF(VAT_Return!B16="Flat Rate Scheme",0,ROUND(E87*IF(F87=0.2,0.2,IF(F87=0.05,0.05,0)),2)),0)</f>
        <v>0</v>
      </c>
      <c r="H87" s="28">
        <f t="shared" si="4"/>
        <v>0</v>
      </c>
      <c r="I87" s="29" t="str">
        <f t="shared" si="5"/>
        <v/>
      </c>
    </row>
    <row r="88" spans="1:9" ht="16.5" customHeight="1" x14ac:dyDescent="0.25">
      <c r="A88" s="22">
        <v>84</v>
      </c>
      <c r="B88" s="23"/>
      <c r="C88" s="24"/>
      <c r="D88" s="25"/>
      <c r="E88" s="26"/>
      <c r="F88" s="27">
        <v>0.2</v>
      </c>
      <c r="G88" s="28">
        <f>IF(ISNUMBER(E88),IF(VAT_Return!B16="Flat Rate Scheme",0,ROUND(E88*IF(F88=0.2,0.2,IF(F88=0.05,0.05,0)),2)),0)</f>
        <v>0</v>
      </c>
      <c r="H88" s="28">
        <f t="shared" si="4"/>
        <v>0</v>
      </c>
      <c r="I88" s="30" t="str">
        <f t="shared" si="5"/>
        <v/>
      </c>
    </row>
    <row r="89" spans="1:9" ht="16.5" customHeight="1" x14ac:dyDescent="0.25">
      <c r="A89" s="22">
        <v>85</v>
      </c>
      <c r="B89" s="23"/>
      <c r="C89" s="24"/>
      <c r="D89" s="25"/>
      <c r="E89" s="26"/>
      <c r="F89" s="27">
        <v>0.2</v>
      </c>
      <c r="G89" s="28">
        <f>IF(ISNUMBER(E89),IF(VAT_Return!B16="Flat Rate Scheme",0,ROUND(E89*IF(F89=0.2,0.2,IF(F89=0.05,0.05,0)),2)),0)</f>
        <v>0</v>
      </c>
      <c r="H89" s="28">
        <f t="shared" si="4"/>
        <v>0</v>
      </c>
      <c r="I89" s="29" t="str">
        <f t="shared" si="5"/>
        <v/>
      </c>
    </row>
    <row r="90" spans="1:9" ht="16.5" customHeight="1" x14ac:dyDescent="0.25">
      <c r="A90" s="22">
        <v>86</v>
      </c>
      <c r="B90" s="23"/>
      <c r="C90" s="24"/>
      <c r="D90" s="25"/>
      <c r="E90" s="26"/>
      <c r="F90" s="27">
        <v>0.2</v>
      </c>
      <c r="G90" s="28">
        <f>IF(ISNUMBER(E90),IF(VAT_Return!B16="Flat Rate Scheme",0,ROUND(E90*IF(F90=0.2,0.2,IF(F90=0.05,0.05,0)),2)),0)</f>
        <v>0</v>
      </c>
      <c r="H90" s="28">
        <f t="shared" si="4"/>
        <v>0</v>
      </c>
      <c r="I90" s="30" t="str">
        <f t="shared" si="5"/>
        <v/>
      </c>
    </row>
    <row r="91" spans="1:9" ht="16.5" customHeight="1" x14ac:dyDescent="0.25">
      <c r="A91" s="22">
        <v>87</v>
      </c>
      <c r="B91" s="23"/>
      <c r="C91" s="24"/>
      <c r="D91" s="25"/>
      <c r="E91" s="26"/>
      <c r="F91" s="27">
        <v>0.2</v>
      </c>
      <c r="G91" s="28">
        <f>IF(ISNUMBER(E91),IF(VAT_Return!B16="Flat Rate Scheme",0,ROUND(E91*IF(F91=0.2,0.2,IF(F91=0.05,0.05,0)),2)),0)</f>
        <v>0</v>
      </c>
      <c r="H91" s="28">
        <f t="shared" si="4"/>
        <v>0</v>
      </c>
      <c r="I91" s="29" t="str">
        <f t="shared" si="5"/>
        <v/>
      </c>
    </row>
    <row r="92" spans="1:9" ht="16.5" customHeight="1" x14ac:dyDescent="0.25">
      <c r="A92" s="22">
        <v>88</v>
      </c>
      <c r="B92" s="23"/>
      <c r="C92" s="24"/>
      <c r="D92" s="25"/>
      <c r="E92" s="26"/>
      <c r="F92" s="27">
        <v>0.2</v>
      </c>
      <c r="G92" s="28">
        <f>IF(ISNUMBER(E92),IF(VAT_Return!B16="Flat Rate Scheme",0,ROUND(E92*IF(F92=0.2,0.2,IF(F92=0.05,0.05,0)),2)),0)</f>
        <v>0</v>
      </c>
      <c r="H92" s="28">
        <f t="shared" si="4"/>
        <v>0</v>
      </c>
      <c r="I92" s="30" t="str">
        <f t="shared" si="5"/>
        <v/>
      </c>
    </row>
    <row r="93" spans="1:9" ht="16.5" customHeight="1" x14ac:dyDescent="0.25">
      <c r="A93" s="22">
        <v>89</v>
      </c>
      <c r="B93" s="23"/>
      <c r="C93" s="24"/>
      <c r="D93" s="25"/>
      <c r="E93" s="26"/>
      <c r="F93" s="27">
        <v>0.2</v>
      </c>
      <c r="G93" s="28">
        <f>IF(ISNUMBER(E93),IF(VAT_Return!B16="Flat Rate Scheme",0,ROUND(E93*IF(F93=0.2,0.2,IF(F93=0.05,0.05,0)),2)),0)</f>
        <v>0</v>
      </c>
      <c r="H93" s="28">
        <f t="shared" si="4"/>
        <v>0</v>
      </c>
      <c r="I93" s="29" t="str">
        <f t="shared" si="5"/>
        <v/>
      </c>
    </row>
    <row r="94" spans="1:9" ht="16.5" customHeight="1" x14ac:dyDescent="0.25">
      <c r="A94" s="22">
        <v>90</v>
      </c>
      <c r="B94" s="23"/>
      <c r="C94" s="24"/>
      <c r="D94" s="25"/>
      <c r="E94" s="26"/>
      <c r="F94" s="27">
        <v>0.2</v>
      </c>
      <c r="G94" s="28">
        <f>IF(ISNUMBER(E94),IF(VAT_Return!B16="Flat Rate Scheme",0,ROUND(E94*IF(F94=0.2,0.2,IF(F94=0.05,0.05,0)),2)),0)</f>
        <v>0</v>
      </c>
      <c r="H94" s="28">
        <f t="shared" si="4"/>
        <v>0</v>
      </c>
      <c r="I94" s="30" t="str">
        <f t="shared" si="5"/>
        <v/>
      </c>
    </row>
    <row r="95" spans="1:9" ht="16.5" customHeight="1" x14ac:dyDescent="0.25">
      <c r="A95" s="22">
        <v>91</v>
      </c>
      <c r="B95" s="23"/>
      <c r="C95" s="24"/>
      <c r="D95" s="25"/>
      <c r="E95" s="26"/>
      <c r="F95" s="27">
        <v>0.2</v>
      </c>
      <c r="G95" s="28">
        <f>IF(ISNUMBER(E95),IF(VAT_Return!B16="Flat Rate Scheme",0,ROUND(E95*IF(F95=0.2,0.2,IF(F95=0.05,0.05,0)),2)),0)</f>
        <v>0</v>
      </c>
      <c r="H95" s="28">
        <f t="shared" si="4"/>
        <v>0</v>
      </c>
      <c r="I95" s="29" t="str">
        <f t="shared" si="5"/>
        <v/>
      </c>
    </row>
    <row r="96" spans="1:9" ht="16.5" customHeight="1" x14ac:dyDescent="0.25">
      <c r="A96" s="22">
        <v>92</v>
      </c>
      <c r="B96" s="23"/>
      <c r="C96" s="24"/>
      <c r="D96" s="25"/>
      <c r="E96" s="26"/>
      <c r="F96" s="27">
        <v>0.2</v>
      </c>
      <c r="G96" s="28">
        <f>IF(ISNUMBER(E96),IF(VAT_Return!B16="Flat Rate Scheme",0,ROUND(E96*IF(F96=0.2,0.2,IF(F96=0.05,0.05,0)),2)),0)</f>
        <v>0</v>
      </c>
      <c r="H96" s="28">
        <f t="shared" si="4"/>
        <v>0</v>
      </c>
      <c r="I96" s="30" t="str">
        <f t="shared" si="5"/>
        <v/>
      </c>
    </row>
    <row r="97" spans="1:9" ht="16.5" customHeight="1" x14ac:dyDescent="0.25">
      <c r="A97" s="22">
        <v>93</v>
      </c>
      <c r="B97" s="23"/>
      <c r="C97" s="24"/>
      <c r="D97" s="25"/>
      <c r="E97" s="26"/>
      <c r="F97" s="27">
        <v>0.2</v>
      </c>
      <c r="G97" s="28">
        <f>IF(ISNUMBER(E97),IF(VAT_Return!B16="Flat Rate Scheme",0,ROUND(E97*IF(F97=0.2,0.2,IF(F97=0.05,0.05,0)),2)),0)</f>
        <v>0</v>
      </c>
      <c r="H97" s="28">
        <f t="shared" si="4"/>
        <v>0</v>
      </c>
      <c r="I97" s="29" t="str">
        <f t="shared" si="5"/>
        <v/>
      </c>
    </row>
    <row r="98" spans="1:9" ht="16.5" customHeight="1" x14ac:dyDescent="0.25">
      <c r="A98" s="22">
        <v>94</v>
      </c>
      <c r="B98" s="23"/>
      <c r="C98" s="24"/>
      <c r="D98" s="25"/>
      <c r="E98" s="26"/>
      <c r="F98" s="27">
        <v>0.2</v>
      </c>
      <c r="G98" s="28">
        <f>IF(ISNUMBER(E98),IF(VAT_Return!B16="Flat Rate Scheme",0,ROUND(E98*IF(F98=0.2,0.2,IF(F98=0.05,0.05,0)),2)),0)</f>
        <v>0</v>
      </c>
      <c r="H98" s="28">
        <f t="shared" si="4"/>
        <v>0</v>
      </c>
      <c r="I98" s="30" t="str">
        <f t="shared" si="5"/>
        <v/>
      </c>
    </row>
    <row r="99" spans="1:9" ht="16.5" customHeight="1" x14ac:dyDescent="0.25">
      <c r="A99" s="22">
        <v>95</v>
      </c>
      <c r="B99" s="23"/>
      <c r="C99" s="24"/>
      <c r="D99" s="25"/>
      <c r="E99" s="26"/>
      <c r="F99" s="27">
        <v>0.2</v>
      </c>
      <c r="G99" s="28">
        <f>IF(ISNUMBER(E99),IF(VAT_Return!B16="Flat Rate Scheme",0,ROUND(E99*IF(F99=0.2,0.2,IF(F99=0.05,0.05,0)),2)),0)</f>
        <v>0</v>
      </c>
      <c r="H99" s="28">
        <f t="shared" si="4"/>
        <v>0</v>
      </c>
      <c r="I99" s="29" t="str">
        <f t="shared" si="5"/>
        <v/>
      </c>
    </row>
    <row r="100" spans="1:9" ht="16.5" customHeight="1" x14ac:dyDescent="0.25">
      <c r="A100" s="22">
        <v>96</v>
      </c>
      <c r="B100" s="23"/>
      <c r="C100" s="24"/>
      <c r="D100" s="25"/>
      <c r="E100" s="26"/>
      <c r="F100" s="27">
        <v>0.2</v>
      </c>
      <c r="G100" s="28">
        <f>IF(ISNUMBER(E100),IF(VAT_Return!B16="Flat Rate Scheme",0,ROUND(E100*IF(F100=0.2,0.2,IF(F100=0.05,0.05,0)),2)),0)</f>
        <v>0</v>
      </c>
      <c r="H100" s="28">
        <f t="shared" si="4"/>
        <v>0</v>
      </c>
      <c r="I100" s="30" t="str">
        <f t="shared" si="5"/>
        <v/>
      </c>
    </row>
    <row r="101" spans="1:9" ht="16.5" customHeight="1" x14ac:dyDescent="0.25">
      <c r="A101" s="22">
        <v>97</v>
      </c>
      <c r="B101" s="23"/>
      <c r="C101" s="24"/>
      <c r="D101" s="25"/>
      <c r="E101" s="26"/>
      <c r="F101" s="27">
        <v>0.2</v>
      </c>
      <c r="G101" s="28">
        <f>IF(ISNUMBER(E101),IF(VAT_Return!B16="Flat Rate Scheme",0,ROUND(E101*IF(F101=0.2,0.2,IF(F101=0.05,0.05,0)),2)),0)</f>
        <v>0</v>
      </c>
      <c r="H101" s="28">
        <f t="shared" ref="H101:H132" si="6">IF(ISNUMBER(E101),ROUND(E101+G101,2),0)</f>
        <v>0</v>
      </c>
      <c r="I101" s="29" t="str">
        <f t="shared" ref="I101:I132" si="7">IF(E101="","",IF(ISNUMBER(E101),IF(E101&gt;0,"✓ OK","⚠ Check Net"),"⚠ Not a number"))</f>
        <v/>
      </c>
    </row>
    <row r="102" spans="1:9" ht="16.5" customHeight="1" x14ac:dyDescent="0.25">
      <c r="A102" s="22">
        <v>98</v>
      </c>
      <c r="B102" s="23"/>
      <c r="C102" s="24"/>
      <c r="D102" s="25"/>
      <c r="E102" s="26"/>
      <c r="F102" s="27">
        <v>0.2</v>
      </c>
      <c r="G102" s="28">
        <f>IF(ISNUMBER(E102),IF(VAT_Return!B16="Flat Rate Scheme",0,ROUND(E102*IF(F102=0.2,0.2,IF(F102=0.05,0.05,0)),2)),0)</f>
        <v>0</v>
      </c>
      <c r="H102" s="28">
        <f t="shared" si="6"/>
        <v>0</v>
      </c>
      <c r="I102" s="30" t="str">
        <f t="shared" si="7"/>
        <v/>
      </c>
    </row>
    <row r="103" spans="1:9" ht="16.5" customHeight="1" x14ac:dyDescent="0.25">
      <c r="A103" s="22">
        <v>99</v>
      </c>
      <c r="B103" s="23"/>
      <c r="C103" s="24"/>
      <c r="D103" s="25"/>
      <c r="E103" s="26"/>
      <c r="F103" s="27">
        <v>0.2</v>
      </c>
      <c r="G103" s="28">
        <f>IF(ISNUMBER(E103),IF(VAT_Return!B16="Flat Rate Scheme",0,ROUND(E103*IF(F103=0.2,0.2,IF(F103=0.05,0.05,0)),2)),0)</f>
        <v>0</v>
      </c>
      <c r="H103" s="28">
        <f t="shared" si="6"/>
        <v>0</v>
      </c>
      <c r="I103" s="29" t="str">
        <f t="shared" si="7"/>
        <v/>
      </c>
    </row>
    <row r="104" spans="1:9" ht="16.5" customHeight="1" x14ac:dyDescent="0.25">
      <c r="A104" s="22">
        <v>100</v>
      </c>
      <c r="B104" s="23"/>
      <c r="C104" s="24"/>
      <c r="D104" s="25"/>
      <c r="E104" s="26"/>
      <c r="F104" s="27">
        <v>0.2</v>
      </c>
      <c r="G104" s="28">
        <f>IF(ISNUMBER(E104),IF(VAT_Return!B16="Flat Rate Scheme",0,ROUND(E104*IF(F104=0.2,0.2,IF(F104=0.05,0.05,0)),2)),0)</f>
        <v>0</v>
      </c>
      <c r="H104" s="28">
        <f t="shared" si="6"/>
        <v>0</v>
      </c>
      <c r="I104" s="30" t="str">
        <f t="shared" si="7"/>
        <v/>
      </c>
    </row>
    <row r="105" spans="1:9" ht="16.5" customHeight="1" x14ac:dyDescent="0.25">
      <c r="A105" s="22">
        <v>101</v>
      </c>
      <c r="B105" s="23"/>
      <c r="C105" s="24"/>
      <c r="D105" s="25"/>
      <c r="E105" s="26"/>
      <c r="F105" s="27">
        <v>0.2</v>
      </c>
      <c r="G105" s="28">
        <f>IF(ISNUMBER(E105),IF(VAT_Return!B16="Flat Rate Scheme",0,ROUND(E105*IF(F105=0.2,0.2,IF(F105=0.05,0.05,0)),2)),0)</f>
        <v>0</v>
      </c>
      <c r="H105" s="28">
        <f t="shared" si="6"/>
        <v>0</v>
      </c>
      <c r="I105" s="29" t="str">
        <f t="shared" si="7"/>
        <v/>
      </c>
    </row>
    <row r="106" spans="1:9" ht="16.5" customHeight="1" x14ac:dyDescent="0.25">
      <c r="A106" s="22">
        <v>102</v>
      </c>
      <c r="B106" s="23"/>
      <c r="C106" s="24"/>
      <c r="D106" s="25"/>
      <c r="E106" s="26"/>
      <c r="F106" s="27">
        <v>0.2</v>
      </c>
      <c r="G106" s="28">
        <f>IF(ISNUMBER(E106),IF(VAT_Return!B16="Flat Rate Scheme",0,ROUND(E106*IF(F106=0.2,0.2,IF(F106=0.05,0.05,0)),2)),0)</f>
        <v>0</v>
      </c>
      <c r="H106" s="28">
        <f t="shared" si="6"/>
        <v>0</v>
      </c>
      <c r="I106" s="30" t="str">
        <f t="shared" si="7"/>
        <v/>
      </c>
    </row>
    <row r="107" spans="1:9" ht="16.5" customHeight="1" x14ac:dyDescent="0.25">
      <c r="A107" s="22">
        <v>103</v>
      </c>
      <c r="B107" s="23"/>
      <c r="C107" s="24"/>
      <c r="D107" s="25"/>
      <c r="E107" s="26"/>
      <c r="F107" s="27">
        <v>0.2</v>
      </c>
      <c r="G107" s="28">
        <f>IF(ISNUMBER(E107),IF(VAT_Return!B16="Flat Rate Scheme",0,ROUND(E107*IF(F107=0.2,0.2,IF(F107=0.05,0.05,0)),2)),0)</f>
        <v>0</v>
      </c>
      <c r="H107" s="28">
        <f t="shared" si="6"/>
        <v>0</v>
      </c>
      <c r="I107" s="29" t="str">
        <f t="shared" si="7"/>
        <v/>
      </c>
    </row>
    <row r="108" spans="1:9" ht="16.5" customHeight="1" x14ac:dyDescent="0.25">
      <c r="A108" s="22">
        <v>104</v>
      </c>
      <c r="B108" s="23"/>
      <c r="C108" s="24"/>
      <c r="D108" s="25"/>
      <c r="E108" s="26"/>
      <c r="F108" s="27">
        <v>0.2</v>
      </c>
      <c r="G108" s="28">
        <f>IF(ISNUMBER(E108),IF(VAT_Return!B16="Flat Rate Scheme",0,ROUND(E108*IF(F108=0.2,0.2,IF(F108=0.05,0.05,0)),2)),0)</f>
        <v>0</v>
      </c>
      <c r="H108" s="28">
        <f t="shared" si="6"/>
        <v>0</v>
      </c>
      <c r="I108" s="30" t="str">
        <f t="shared" si="7"/>
        <v/>
      </c>
    </row>
    <row r="109" spans="1:9" ht="16.5" customHeight="1" x14ac:dyDescent="0.25">
      <c r="A109" s="22">
        <v>105</v>
      </c>
      <c r="B109" s="23"/>
      <c r="C109" s="24"/>
      <c r="D109" s="25"/>
      <c r="E109" s="26"/>
      <c r="F109" s="27">
        <v>0.2</v>
      </c>
      <c r="G109" s="28">
        <f>IF(ISNUMBER(E109),IF(VAT_Return!B16="Flat Rate Scheme",0,ROUND(E109*IF(F109=0.2,0.2,IF(F109=0.05,0.05,0)),2)),0)</f>
        <v>0</v>
      </c>
      <c r="H109" s="28">
        <f t="shared" si="6"/>
        <v>0</v>
      </c>
      <c r="I109" s="29" t="str">
        <f t="shared" si="7"/>
        <v/>
      </c>
    </row>
    <row r="110" spans="1:9" ht="16.5" customHeight="1" x14ac:dyDescent="0.25">
      <c r="A110" s="22">
        <v>106</v>
      </c>
      <c r="B110" s="23"/>
      <c r="C110" s="24"/>
      <c r="D110" s="25"/>
      <c r="E110" s="26"/>
      <c r="F110" s="27">
        <v>0.2</v>
      </c>
      <c r="G110" s="28">
        <f>IF(ISNUMBER(E110),IF(VAT_Return!B16="Flat Rate Scheme",0,ROUND(E110*IF(F110=0.2,0.2,IF(F110=0.05,0.05,0)),2)),0)</f>
        <v>0</v>
      </c>
      <c r="H110" s="28">
        <f t="shared" si="6"/>
        <v>0</v>
      </c>
      <c r="I110" s="30" t="str">
        <f t="shared" si="7"/>
        <v/>
      </c>
    </row>
    <row r="111" spans="1:9" ht="16.5" customHeight="1" x14ac:dyDescent="0.25">
      <c r="A111" s="22">
        <v>107</v>
      </c>
      <c r="B111" s="23"/>
      <c r="C111" s="24"/>
      <c r="D111" s="25"/>
      <c r="E111" s="26"/>
      <c r="F111" s="27">
        <v>0.2</v>
      </c>
      <c r="G111" s="28">
        <f>IF(ISNUMBER(E111),IF(VAT_Return!B16="Flat Rate Scheme",0,ROUND(E111*IF(F111=0.2,0.2,IF(F111=0.05,0.05,0)),2)),0)</f>
        <v>0</v>
      </c>
      <c r="H111" s="28">
        <f t="shared" si="6"/>
        <v>0</v>
      </c>
      <c r="I111" s="29" t="str">
        <f t="shared" si="7"/>
        <v/>
      </c>
    </row>
    <row r="112" spans="1:9" ht="16.5" customHeight="1" x14ac:dyDescent="0.25">
      <c r="A112" s="22">
        <v>108</v>
      </c>
      <c r="B112" s="23"/>
      <c r="C112" s="24"/>
      <c r="D112" s="25"/>
      <c r="E112" s="26"/>
      <c r="F112" s="27">
        <v>0.2</v>
      </c>
      <c r="G112" s="28">
        <f>IF(ISNUMBER(E112),IF(VAT_Return!B16="Flat Rate Scheme",0,ROUND(E112*IF(F112=0.2,0.2,IF(F112=0.05,0.05,0)),2)),0)</f>
        <v>0</v>
      </c>
      <c r="H112" s="28">
        <f t="shared" si="6"/>
        <v>0</v>
      </c>
      <c r="I112" s="30" t="str">
        <f t="shared" si="7"/>
        <v/>
      </c>
    </row>
    <row r="113" spans="1:9" ht="16.5" customHeight="1" x14ac:dyDescent="0.25">
      <c r="A113" s="22">
        <v>109</v>
      </c>
      <c r="B113" s="23"/>
      <c r="C113" s="24"/>
      <c r="D113" s="25"/>
      <c r="E113" s="26"/>
      <c r="F113" s="27">
        <v>0.2</v>
      </c>
      <c r="G113" s="28">
        <f>IF(ISNUMBER(E113),IF(VAT_Return!B16="Flat Rate Scheme",0,ROUND(E113*IF(F113=0.2,0.2,IF(F113=0.05,0.05,0)),2)),0)</f>
        <v>0</v>
      </c>
      <c r="H113" s="28">
        <f t="shared" si="6"/>
        <v>0</v>
      </c>
      <c r="I113" s="29" t="str">
        <f t="shared" si="7"/>
        <v/>
      </c>
    </row>
    <row r="114" spans="1:9" ht="16.5" customHeight="1" x14ac:dyDescent="0.25">
      <c r="A114" s="22">
        <v>110</v>
      </c>
      <c r="B114" s="23"/>
      <c r="C114" s="24"/>
      <c r="D114" s="25"/>
      <c r="E114" s="26"/>
      <c r="F114" s="27">
        <v>0.2</v>
      </c>
      <c r="G114" s="28">
        <f>IF(ISNUMBER(E114),IF(VAT_Return!B16="Flat Rate Scheme",0,ROUND(E114*IF(F114=0.2,0.2,IF(F114=0.05,0.05,0)),2)),0)</f>
        <v>0</v>
      </c>
      <c r="H114" s="28">
        <f t="shared" si="6"/>
        <v>0</v>
      </c>
      <c r="I114" s="30" t="str">
        <f t="shared" si="7"/>
        <v/>
      </c>
    </row>
    <row r="115" spans="1:9" ht="16.5" customHeight="1" x14ac:dyDescent="0.25">
      <c r="A115" s="22">
        <v>111</v>
      </c>
      <c r="B115" s="23"/>
      <c r="C115" s="24"/>
      <c r="D115" s="25"/>
      <c r="E115" s="26"/>
      <c r="F115" s="27">
        <v>0.2</v>
      </c>
      <c r="G115" s="28">
        <f>IF(ISNUMBER(E115),IF(VAT_Return!B16="Flat Rate Scheme",0,ROUND(E115*IF(F115=0.2,0.2,IF(F115=0.05,0.05,0)),2)),0)</f>
        <v>0</v>
      </c>
      <c r="H115" s="28">
        <f t="shared" si="6"/>
        <v>0</v>
      </c>
      <c r="I115" s="29" t="str">
        <f t="shared" si="7"/>
        <v/>
      </c>
    </row>
    <row r="116" spans="1:9" ht="16.5" customHeight="1" x14ac:dyDescent="0.25">
      <c r="A116" s="22">
        <v>112</v>
      </c>
      <c r="B116" s="23"/>
      <c r="C116" s="24"/>
      <c r="D116" s="25"/>
      <c r="E116" s="26"/>
      <c r="F116" s="27">
        <v>0.2</v>
      </c>
      <c r="G116" s="28">
        <f>IF(ISNUMBER(E116),IF(VAT_Return!B16="Flat Rate Scheme",0,ROUND(E116*IF(F116=0.2,0.2,IF(F116=0.05,0.05,0)),2)),0)</f>
        <v>0</v>
      </c>
      <c r="H116" s="28">
        <f t="shared" si="6"/>
        <v>0</v>
      </c>
      <c r="I116" s="30" t="str">
        <f t="shared" si="7"/>
        <v/>
      </c>
    </row>
    <row r="117" spans="1:9" ht="16.5" customHeight="1" x14ac:dyDescent="0.25">
      <c r="A117" s="22">
        <v>113</v>
      </c>
      <c r="B117" s="23"/>
      <c r="C117" s="24"/>
      <c r="D117" s="25"/>
      <c r="E117" s="26"/>
      <c r="F117" s="27">
        <v>0.2</v>
      </c>
      <c r="G117" s="28">
        <f>IF(ISNUMBER(E117),IF(VAT_Return!B16="Flat Rate Scheme",0,ROUND(E117*IF(F117=0.2,0.2,IF(F117=0.05,0.05,0)),2)),0)</f>
        <v>0</v>
      </c>
      <c r="H117" s="28">
        <f t="shared" si="6"/>
        <v>0</v>
      </c>
      <c r="I117" s="29" t="str">
        <f t="shared" si="7"/>
        <v/>
      </c>
    </row>
    <row r="118" spans="1:9" ht="16.5" customHeight="1" x14ac:dyDescent="0.25">
      <c r="A118" s="22">
        <v>114</v>
      </c>
      <c r="B118" s="23"/>
      <c r="C118" s="24"/>
      <c r="D118" s="25"/>
      <c r="E118" s="26"/>
      <c r="F118" s="27">
        <v>0.2</v>
      </c>
      <c r="G118" s="28">
        <f>IF(ISNUMBER(E118),IF(VAT_Return!B16="Flat Rate Scheme",0,ROUND(E118*IF(F118=0.2,0.2,IF(F118=0.05,0.05,0)),2)),0)</f>
        <v>0</v>
      </c>
      <c r="H118" s="28">
        <f t="shared" si="6"/>
        <v>0</v>
      </c>
      <c r="I118" s="30" t="str">
        <f t="shared" si="7"/>
        <v/>
      </c>
    </row>
    <row r="119" spans="1:9" ht="16.5" customHeight="1" x14ac:dyDescent="0.25">
      <c r="A119" s="22">
        <v>115</v>
      </c>
      <c r="B119" s="23"/>
      <c r="C119" s="24"/>
      <c r="D119" s="25"/>
      <c r="E119" s="26"/>
      <c r="F119" s="27">
        <v>0.2</v>
      </c>
      <c r="G119" s="28">
        <f>IF(ISNUMBER(E119),IF(VAT_Return!B16="Flat Rate Scheme",0,ROUND(E119*IF(F119=0.2,0.2,IF(F119=0.05,0.05,0)),2)),0)</f>
        <v>0</v>
      </c>
      <c r="H119" s="28">
        <f t="shared" si="6"/>
        <v>0</v>
      </c>
      <c r="I119" s="29" t="str">
        <f t="shared" si="7"/>
        <v/>
      </c>
    </row>
    <row r="120" spans="1:9" ht="16.5" customHeight="1" x14ac:dyDescent="0.25">
      <c r="A120" s="22">
        <v>116</v>
      </c>
      <c r="B120" s="23"/>
      <c r="C120" s="24"/>
      <c r="D120" s="25"/>
      <c r="E120" s="26"/>
      <c r="F120" s="27">
        <v>0.2</v>
      </c>
      <c r="G120" s="28">
        <f>IF(ISNUMBER(E120),IF(VAT_Return!B16="Flat Rate Scheme",0,ROUND(E120*IF(F120=0.2,0.2,IF(F120=0.05,0.05,0)),2)),0)</f>
        <v>0</v>
      </c>
      <c r="H120" s="28">
        <f t="shared" si="6"/>
        <v>0</v>
      </c>
      <c r="I120" s="30" t="str">
        <f t="shared" si="7"/>
        <v/>
      </c>
    </row>
    <row r="121" spans="1:9" ht="16.5" customHeight="1" x14ac:dyDescent="0.25">
      <c r="A121" s="22">
        <v>117</v>
      </c>
      <c r="B121" s="23"/>
      <c r="C121" s="24"/>
      <c r="D121" s="25"/>
      <c r="E121" s="26"/>
      <c r="F121" s="27">
        <v>0.2</v>
      </c>
      <c r="G121" s="28">
        <f>IF(ISNUMBER(E121),IF(VAT_Return!B16="Flat Rate Scheme",0,ROUND(E121*IF(F121=0.2,0.2,IF(F121=0.05,0.05,0)),2)),0)</f>
        <v>0</v>
      </c>
      <c r="H121" s="28">
        <f t="shared" si="6"/>
        <v>0</v>
      </c>
      <c r="I121" s="29" t="str">
        <f t="shared" si="7"/>
        <v/>
      </c>
    </row>
    <row r="122" spans="1:9" ht="16.5" customHeight="1" x14ac:dyDescent="0.25">
      <c r="A122" s="22">
        <v>118</v>
      </c>
      <c r="B122" s="23"/>
      <c r="C122" s="24"/>
      <c r="D122" s="25"/>
      <c r="E122" s="26"/>
      <c r="F122" s="27">
        <v>0.2</v>
      </c>
      <c r="G122" s="28">
        <f>IF(ISNUMBER(E122),IF(VAT_Return!B16="Flat Rate Scheme",0,ROUND(E122*IF(F122=0.2,0.2,IF(F122=0.05,0.05,0)),2)),0)</f>
        <v>0</v>
      </c>
      <c r="H122" s="28">
        <f t="shared" si="6"/>
        <v>0</v>
      </c>
      <c r="I122" s="30" t="str">
        <f t="shared" si="7"/>
        <v/>
      </c>
    </row>
    <row r="123" spans="1:9" ht="16.5" customHeight="1" x14ac:dyDescent="0.25">
      <c r="A123" s="22">
        <v>119</v>
      </c>
      <c r="B123" s="23"/>
      <c r="C123" s="24"/>
      <c r="D123" s="25"/>
      <c r="E123" s="26"/>
      <c r="F123" s="27">
        <v>0.2</v>
      </c>
      <c r="G123" s="28">
        <f>IF(ISNUMBER(E123),IF(VAT_Return!B16="Flat Rate Scheme",0,ROUND(E123*IF(F123=0.2,0.2,IF(F123=0.05,0.05,0)),2)),0)</f>
        <v>0</v>
      </c>
      <c r="H123" s="28">
        <f t="shared" si="6"/>
        <v>0</v>
      </c>
      <c r="I123" s="29" t="str">
        <f t="shared" si="7"/>
        <v/>
      </c>
    </row>
    <row r="124" spans="1:9" ht="16.5" customHeight="1" x14ac:dyDescent="0.25">
      <c r="A124" s="22">
        <v>120</v>
      </c>
      <c r="B124" s="23"/>
      <c r="C124" s="24"/>
      <c r="D124" s="25"/>
      <c r="E124" s="26"/>
      <c r="F124" s="27">
        <v>0.2</v>
      </c>
      <c r="G124" s="28">
        <f>IF(ISNUMBER(E124),IF(VAT_Return!B16="Flat Rate Scheme",0,ROUND(E124*IF(F124=0.2,0.2,IF(F124=0.05,0.05,0)),2)),0)</f>
        <v>0</v>
      </c>
      <c r="H124" s="28">
        <f t="shared" si="6"/>
        <v>0</v>
      </c>
      <c r="I124" s="30" t="str">
        <f t="shared" si="7"/>
        <v/>
      </c>
    </row>
    <row r="125" spans="1:9" ht="16.5" customHeight="1" x14ac:dyDescent="0.25">
      <c r="A125" s="22">
        <v>121</v>
      </c>
      <c r="B125" s="23"/>
      <c r="C125" s="24"/>
      <c r="D125" s="25"/>
      <c r="E125" s="26"/>
      <c r="F125" s="27">
        <v>0.2</v>
      </c>
      <c r="G125" s="28">
        <f>IF(ISNUMBER(E125),IF(VAT_Return!B16="Flat Rate Scheme",0,ROUND(E125*IF(F125=0.2,0.2,IF(F125=0.05,0.05,0)),2)),0)</f>
        <v>0</v>
      </c>
      <c r="H125" s="28">
        <f t="shared" si="6"/>
        <v>0</v>
      </c>
      <c r="I125" s="29" t="str">
        <f t="shared" si="7"/>
        <v/>
      </c>
    </row>
    <row r="126" spans="1:9" ht="16.5" customHeight="1" x14ac:dyDescent="0.25">
      <c r="A126" s="22">
        <v>122</v>
      </c>
      <c r="B126" s="23"/>
      <c r="C126" s="24"/>
      <c r="D126" s="25"/>
      <c r="E126" s="26"/>
      <c r="F126" s="27">
        <v>0.2</v>
      </c>
      <c r="G126" s="28">
        <f>IF(ISNUMBER(E126),IF(VAT_Return!B16="Flat Rate Scheme",0,ROUND(E126*IF(F126=0.2,0.2,IF(F126=0.05,0.05,0)),2)),0)</f>
        <v>0</v>
      </c>
      <c r="H126" s="28">
        <f t="shared" si="6"/>
        <v>0</v>
      </c>
      <c r="I126" s="30" t="str">
        <f t="shared" si="7"/>
        <v/>
      </c>
    </row>
    <row r="127" spans="1:9" ht="16.5" customHeight="1" x14ac:dyDescent="0.25">
      <c r="A127" s="22">
        <v>123</v>
      </c>
      <c r="B127" s="23"/>
      <c r="C127" s="24"/>
      <c r="D127" s="25"/>
      <c r="E127" s="26"/>
      <c r="F127" s="27">
        <v>0.2</v>
      </c>
      <c r="G127" s="28">
        <f>IF(ISNUMBER(E127),IF(VAT_Return!B16="Flat Rate Scheme",0,ROUND(E127*IF(F127=0.2,0.2,IF(F127=0.05,0.05,0)),2)),0)</f>
        <v>0</v>
      </c>
      <c r="H127" s="28">
        <f t="shared" si="6"/>
        <v>0</v>
      </c>
      <c r="I127" s="29" t="str">
        <f t="shared" si="7"/>
        <v/>
      </c>
    </row>
    <row r="128" spans="1:9" ht="16.5" customHeight="1" x14ac:dyDescent="0.25">
      <c r="A128" s="22">
        <v>124</v>
      </c>
      <c r="B128" s="23"/>
      <c r="C128" s="24"/>
      <c r="D128" s="25"/>
      <c r="E128" s="26"/>
      <c r="F128" s="27">
        <v>0.2</v>
      </c>
      <c r="G128" s="28">
        <f>IF(ISNUMBER(E128),IF(VAT_Return!B16="Flat Rate Scheme",0,ROUND(E128*IF(F128=0.2,0.2,IF(F128=0.05,0.05,0)),2)),0)</f>
        <v>0</v>
      </c>
      <c r="H128" s="28">
        <f t="shared" si="6"/>
        <v>0</v>
      </c>
      <c r="I128" s="30" t="str">
        <f t="shared" si="7"/>
        <v/>
      </c>
    </row>
    <row r="129" spans="1:9" ht="16.5" customHeight="1" x14ac:dyDescent="0.25">
      <c r="A129" s="22">
        <v>125</v>
      </c>
      <c r="B129" s="23"/>
      <c r="C129" s="24"/>
      <c r="D129" s="25"/>
      <c r="E129" s="26"/>
      <c r="F129" s="27">
        <v>0.2</v>
      </c>
      <c r="G129" s="28">
        <f>IF(ISNUMBER(E129),IF(VAT_Return!B16="Flat Rate Scheme",0,ROUND(E129*IF(F129=0.2,0.2,IF(F129=0.05,0.05,0)),2)),0)</f>
        <v>0</v>
      </c>
      <c r="H129" s="28">
        <f t="shared" si="6"/>
        <v>0</v>
      </c>
      <c r="I129" s="29" t="str">
        <f t="shared" si="7"/>
        <v/>
      </c>
    </row>
    <row r="130" spans="1:9" ht="16.5" customHeight="1" x14ac:dyDescent="0.25">
      <c r="A130" s="22">
        <v>126</v>
      </c>
      <c r="B130" s="23"/>
      <c r="C130" s="24"/>
      <c r="D130" s="25"/>
      <c r="E130" s="26"/>
      <c r="F130" s="27">
        <v>0.2</v>
      </c>
      <c r="G130" s="28">
        <f>IF(ISNUMBER(E130),IF(VAT_Return!B16="Flat Rate Scheme",0,ROUND(E130*IF(F130=0.2,0.2,IF(F130=0.05,0.05,0)),2)),0)</f>
        <v>0</v>
      </c>
      <c r="H130" s="28">
        <f t="shared" si="6"/>
        <v>0</v>
      </c>
      <c r="I130" s="30" t="str">
        <f t="shared" si="7"/>
        <v/>
      </c>
    </row>
    <row r="131" spans="1:9" ht="16.5" customHeight="1" x14ac:dyDescent="0.25">
      <c r="A131" s="22">
        <v>127</v>
      </c>
      <c r="B131" s="23"/>
      <c r="C131" s="24"/>
      <c r="D131" s="25"/>
      <c r="E131" s="26"/>
      <c r="F131" s="27">
        <v>0.2</v>
      </c>
      <c r="G131" s="28">
        <f>IF(ISNUMBER(E131),IF(VAT_Return!B16="Flat Rate Scheme",0,ROUND(E131*IF(F131=0.2,0.2,IF(F131=0.05,0.05,0)),2)),0)</f>
        <v>0</v>
      </c>
      <c r="H131" s="28">
        <f t="shared" si="6"/>
        <v>0</v>
      </c>
      <c r="I131" s="29" t="str">
        <f t="shared" si="7"/>
        <v/>
      </c>
    </row>
    <row r="132" spans="1:9" ht="16.5" customHeight="1" x14ac:dyDescent="0.25">
      <c r="A132" s="22">
        <v>128</v>
      </c>
      <c r="B132" s="23"/>
      <c r="C132" s="24"/>
      <c r="D132" s="25"/>
      <c r="E132" s="26"/>
      <c r="F132" s="27">
        <v>0.2</v>
      </c>
      <c r="G132" s="28">
        <f>IF(ISNUMBER(E132),IF(VAT_Return!B16="Flat Rate Scheme",0,ROUND(E132*IF(F132=0.2,0.2,IF(F132=0.05,0.05,0)),2)),0)</f>
        <v>0</v>
      </c>
      <c r="H132" s="28">
        <f t="shared" si="6"/>
        <v>0</v>
      </c>
      <c r="I132" s="30" t="str">
        <f t="shared" si="7"/>
        <v/>
      </c>
    </row>
    <row r="133" spans="1:9" ht="16.5" customHeight="1" x14ac:dyDescent="0.25">
      <c r="A133" s="22">
        <v>129</v>
      </c>
      <c r="B133" s="23"/>
      <c r="C133" s="24"/>
      <c r="D133" s="25"/>
      <c r="E133" s="26"/>
      <c r="F133" s="27">
        <v>0.2</v>
      </c>
      <c r="G133" s="28">
        <f>IF(ISNUMBER(E133),IF(VAT_Return!B16="Flat Rate Scheme",0,ROUND(E133*IF(F133=0.2,0.2,IF(F133=0.05,0.05,0)),2)),0)</f>
        <v>0</v>
      </c>
      <c r="H133" s="28">
        <f t="shared" ref="H133:H164" si="8">IF(ISNUMBER(E133),ROUND(E133+G133,2),0)</f>
        <v>0</v>
      </c>
      <c r="I133" s="29" t="str">
        <f t="shared" ref="I133:I164" si="9">IF(E133="","",IF(ISNUMBER(E133),IF(E133&gt;0,"✓ OK","⚠ Check Net"),"⚠ Not a number"))</f>
        <v/>
      </c>
    </row>
    <row r="134" spans="1:9" ht="16.5" customHeight="1" x14ac:dyDescent="0.25">
      <c r="A134" s="22">
        <v>130</v>
      </c>
      <c r="B134" s="23"/>
      <c r="C134" s="24"/>
      <c r="D134" s="25"/>
      <c r="E134" s="26"/>
      <c r="F134" s="27">
        <v>0.2</v>
      </c>
      <c r="G134" s="28">
        <f>IF(ISNUMBER(E134),IF(VAT_Return!B16="Flat Rate Scheme",0,ROUND(E134*IF(F134=0.2,0.2,IF(F134=0.05,0.05,0)),2)),0)</f>
        <v>0</v>
      </c>
      <c r="H134" s="28">
        <f t="shared" si="8"/>
        <v>0</v>
      </c>
      <c r="I134" s="30" t="str">
        <f t="shared" si="9"/>
        <v/>
      </c>
    </row>
    <row r="135" spans="1:9" ht="16.5" customHeight="1" x14ac:dyDescent="0.25">
      <c r="A135" s="22">
        <v>131</v>
      </c>
      <c r="B135" s="23"/>
      <c r="C135" s="24"/>
      <c r="D135" s="25"/>
      <c r="E135" s="26"/>
      <c r="F135" s="27">
        <v>0.2</v>
      </c>
      <c r="G135" s="28">
        <f>IF(ISNUMBER(E135),IF(VAT_Return!B16="Flat Rate Scheme",0,ROUND(E135*IF(F135=0.2,0.2,IF(F135=0.05,0.05,0)),2)),0)</f>
        <v>0</v>
      </c>
      <c r="H135" s="28">
        <f t="shared" si="8"/>
        <v>0</v>
      </c>
      <c r="I135" s="29" t="str">
        <f t="shared" si="9"/>
        <v/>
      </c>
    </row>
    <row r="136" spans="1:9" ht="16.5" customHeight="1" x14ac:dyDescent="0.25">
      <c r="A136" s="22">
        <v>132</v>
      </c>
      <c r="B136" s="23"/>
      <c r="C136" s="24"/>
      <c r="D136" s="25"/>
      <c r="E136" s="26"/>
      <c r="F136" s="27">
        <v>0.2</v>
      </c>
      <c r="G136" s="28">
        <f>IF(ISNUMBER(E136),IF(VAT_Return!B16="Flat Rate Scheme",0,ROUND(E136*IF(F136=0.2,0.2,IF(F136=0.05,0.05,0)),2)),0)</f>
        <v>0</v>
      </c>
      <c r="H136" s="28">
        <f t="shared" si="8"/>
        <v>0</v>
      </c>
      <c r="I136" s="30" t="str">
        <f t="shared" si="9"/>
        <v/>
      </c>
    </row>
    <row r="137" spans="1:9" ht="16.5" customHeight="1" x14ac:dyDescent="0.25">
      <c r="A137" s="22">
        <v>133</v>
      </c>
      <c r="B137" s="23"/>
      <c r="C137" s="24"/>
      <c r="D137" s="25"/>
      <c r="E137" s="26"/>
      <c r="F137" s="27">
        <v>0.2</v>
      </c>
      <c r="G137" s="28">
        <f>IF(ISNUMBER(E137),IF(VAT_Return!B16="Flat Rate Scheme",0,ROUND(E137*IF(F137=0.2,0.2,IF(F137=0.05,0.05,0)),2)),0)</f>
        <v>0</v>
      </c>
      <c r="H137" s="28">
        <f t="shared" si="8"/>
        <v>0</v>
      </c>
      <c r="I137" s="29" t="str">
        <f t="shared" si="9"/>
        <v/>
      </c>
    </row>
    <row r="138" spans="1:9" ht="16.5" customHeight="1" x14ac:dyDescent="0.25">
      <c r="A138" s="22">
        <v>134</v>
      </c>
      <c r="B138" s="23"/>
      <c r="C138" s="24"/>
      <c r="D138" s="25"/>
      <c r="E138" s="26"/>
      <c r="F138" s="27">
        <v>0.2</v>
      </c>
      <c r="G138" s="28">
        <f>IF(ISNUMBER(E138),IF(VAT_Return!B16="Flat Rate Scheme",0,ROUND(E138*IF(F138=0.2,0.2,IF(F138=0.05,0.05,0)),2)),0)</f>
        <v>0</v>
      </c>
      <c r="H138" s="28">
        <f t="shared" si="8"/>
        <v>0</v>
      </c>
      <c r="I138" s="30" t="str">
        <f t="shared" si="9"/>
        <v/>
      </c>
    </row>
    <row r="139" spans="1:9" ht="16.5" customHeight="1" x14ac:dyDescent="0.25">
      <c r="A139" s="22">
        <v>135</v>
      </c>
      <c r="B139" s="23"/>
      <c r="C139" s="24"/>
      <c r="D139" s="25"/>
      <c r="E139" s="26"/>
      <c r="F139" s="27">
        <v>0.2</v>
      </c>
      <c r="G139" s="28">
        <f>IF(ISNUMBER(E139),IF(VAT_Return!B16="Flat Rate Scheme",0,ROUND(E139*IF(F139=0.2,0.2,IF(F139=0.05,0.05,0)),2)),0)</f>
        <v>0</v>
      </c>
      <c r="H139" s="28">
        <f t="shared" si="8"/>
        <v>0</v>
      </c>
      <c r="I139" s="29" t="str">
        <f t="shared" si="9"/>
        <v/>
      </c>
    </row>
    <row r="140" spans="1:9" ht="16.5" customHeight="1" x14ac:dyDescent="0.25">
      <c r="A140" s="22">
        <v>136</v>
      </c>
      <c r="B140" s="23"/>
      <c r="C140" s="24"/>
      <c r="D140" s="25"/>
      <c r="E140" s="26"/>
      <c r="F140" s="27">
        <v>0.2</v>
      </c>
      <c r="G140" s="28">
        <f>IF(ISNUMBER(E140),IF(VAT_Return!B16="Flat Rate Scheme",0,ROUND(E140*IF(F140=0.2,0.2,IF(F140=0.05,0.05,0)),2)),0)</f>
        <v>0</v>
      </c>
      <c r="H140" s="28">
        <f t="shared" si="8"/>
        <v>0</v>
      </c>
      <c r="I140" s="30" t="str">
        <f t="shared" si="9"/>
        <v/>
      </c>
    </row>
    <row r="141" spans="1:9" ht="16.5" customHeight="1" x14ac:dyDescent="0.25">
      <c r="A141" s="22">
        <v>137</v>
      </c>
      <c r="B141" s="23"/>
      <c r="C141" s="24"/>
      <c r="D141" s="25"/>
      <c r="E141" s="26"/>
      <c r="F141" s="27">
        <v>0.2</v>
      </c>
      <c r="G141" s="28">
        <f>IF(ISNUMBER(E141),IF(VAT_Return!B16="Flat Rate Scheme",0,ROUND(E141*IF(F141=0.2,0.2,IF(F141=0.05,0.05,0)),2)),0)</f>
        <v>0</v>
      </c>
      <c r="H141" s="28">
        <f t="shared" si="8"/>
        <v>0</v>
      </c>
      <c r="I141" s="29" t="str">
        <f t="shared" si="9"/>
        <v/>
      </c>
    </row>
    <row r="142" spans="1:9" ht="16.5" customHeight="1" x14ac:dyDescent="0.25">
      <c r="A142" s="22">
        <v>138</v>
      </c>
      <c r="B142" s="23"/>
      <c r="C142" s="24"/>
      <c r="D142" s="25"/>
      <c r="E142" s="26"/>
      <c r="F142" s="27">
        <v>0.2</v>
      </c>
      <c r="G142" s="28">
        <f>IF(ISNUMBER(E142),IF(VAT_Return!B16="Flat Rate Scheme",0,ROUND(E142*IF(F142=0.2,0.2,IF(F142=0.05,0.05,0)),2)),0)</f>
        <v>0</v>
      </c>
      <c r="H142" s="28">
        <f t="shared" si="8"/>
        <v>0</v>
      </c>
      <c r="I142" s="30" t="str">
        <f t="shared" si="9"/>
        <v/>
      </c>
    </row>
    <row r="143" spans="1:9" ht="16.5" customHeight="1" x14ac:dyDescent="0.25">
      <c r="A143" s="22">
        <v>139</v>
      </c>
      <c r="B143" s="23"/>
      <c r="C143" s="24"/>
      <c r="D143" s="25"/>
      <c r="E143" s="26"/>
      <c r="F143" s="27">
        <v>0.2</v>
      </c>
      <c r="G143" s="28">
        <f>IF(ISNUMBER(E143),IF(VAT_Return!B16="Flat Rate Scheme",0,ROUND(E143*IF(F143=0.2,0.2,IF(F143=0.05,0.05,0)),2)),0)</f>
        <v>0</v>
      </c>
      <c r="H143" s="28">
        <f t="shared" si="8"/>
        <v>0</v>
      </c>
      <c r="I143" s="29" t="str">
        <f t="shared" si="9"/>
        <v/>
      </c>
    </row>
    <row r="144" spans="1:9" ht="16.5" customHeight="1" x14ac:dyDescent="0.25">
      <c r="A144" s="22">
        <v>140</v>
      </c>
      <c r="B144" s="23"/>
      <c r="C144" s="24"/>
      <c r="D144" s="25"/>
      <c r="E144" s="26"/>
      <c r="F144" s="27">
        <v>0.2</v>
      </c>
      <c r="G144" s="28">
        <f>IF(ISNUMBER(E144),IF(VAT_Return!B16="Flat Rate Scheme",0,ROUND(E144*IF(F144=0.2,0.2,IF(F144=0.05,0.05,0)),2)),0)</f>
        <v>0</v>
      </c>
      <c r="H144" s="28">
        <f t="shared" si="8"/>
        <v>0</v>
      </c>
      <c r="I144" s="30" t="str">
        <f t="shared" si="9"/>
        <v/>
      </c>
    </row>
    <row r="145" spans="1:9" ht="16.5" customHeight="1" x14ac:dyDescent="0.25">
      <c r="A145" s="22">
        <v>141</v>
      </c>
      <c r="B145" s="23"/>
      <c r="C145" s="24"/>
      <c r="D145" s="25"/>
      <c r="E145" s="26"/>
      <c r="F145" s="27">
        <v>0.2</v>
      </c>
      <c r="G145" s="28">
        <f>IF(ISNUMBER(E145),IF(VAT_Return!B16="Flat Rate Scheme",0,ROUND(E145*IF(F145=0.2,0.2,IF(F145=0.05,0.05,0)),2)),0)</f>
        <v>0</v>
      </c>
      <c r="H145" s="28">
        <f t="shared" si="8"/>
        <v>0</v>
      </c>
      <c r="I145" s="29" t="str">
        <f t="shared" si="9"/>
        <v/>
      </c>
    </row>
    <row r="146" spans="1:9" ht="16.5" customHeight="1" x14ac:dyDescent="0.25">
      <c r="A146" s="22">
        <v>142</v>
      </c>
      <c r="B146" s="23"/>
      <c r="C146" s="24"/>
      <c r="D146" s="25"/>
      <c r="E146" s="26"/>
      <c r="F146" s="27">
        <v>0.2</v>
      </c>
      <c r="G146" s="28">
        <f>IF(ISNUMBER(E146),IF(VAT_Return!B16="Flat Rate Scheme",0,ROUND(E146*IF(F146=0.2,0.2,IF(F146=0.05,0.05,0)),2)),0)</f>
        <v>0</v>
      </c>
      <c r="H146" s="28">
        <f t="shared" si="8"/>
        <v>0</v>
      </c>
      <c r="I146" s="30" t="str">
        <f t="shared" si="9"/>
        <v/>
      </c>
    </row>
    <row r="147" spans="1:9" ht="16.5" customHeight="1" x14ac:dyDescent="0.25">
      <c r="A147" s="22">
        <v>143</v>
      </c>
      <c r="B147" s="23"/>
      <c r="C147" s="24"/>
      <c r="D147" s="25"/>
      <c r="E147" s="26"/>
      <c r="F147" s="27">
        <v>0.2</v>
      </c>
      <c r="G147" s="28">
        <f>IF(ISNUMBER(E147),IF(VAT_Return!B16="Flat Rate Scheme",0,ROUND(E147*IF(F147=0.2,0.2,IF(F147=0.05,0.05,0)),2)),0)</f>
        <v>0</v>
      </c>
      <c r="H147" s="28">
        <f t="shared" si="8"/>
        <v>0</v>
      </c>
      <c r="I147" s="29" t="str">
        <f t="shared" si="9"/>
        <v/>
      </c>
    </row>
    <row r="148" spans="1:9" ht="16.5" customHeight="1" x14ac:dyDescent="0.25">
      <c r="A148" s="22">
        <v>144</v>
      </c>
      <c r="B148" s="23"/>
      <c r="C148" s="24"/>
      <c r="D148" s="25"/>
      <c r="E148" s="26"/>
      <c r="F148" s="27">
        <v>0.2</v>
      </c>
      <c r="G148" s="28">
        <f>IF(ISNUMBER(E148),IF(VAT_Return!B16="Flat Rate Scheme",0,ROUND(E148*IF(F148=0.2,0.2,IF(F148=0.05,0.05,0)),2)),0)</f>
        <v>0</v>
      </c>
      <c r="H148" s="28">
        <f t="shared" si="8"/>
        <v>0</v>
      </c>
      <c r="I148" s="30" t="str">
        <f t="shared" si="9"/>
        <v/>
      </c>
    </row>
    <row r="149" spans="1:9" ht="16.5" customHeight="1" x14ac:dyDescent="0.25">
      <c r="A149" s="22">
        <v>145</v>
      </c>
      <c r="B149" s="23"/>
      <c r="C149" s="24"/>
      <c r="D149" s="25"/>
      <c r="E149" s="26"/>
      <c r="F149" s="27">
        <v>0.2</v>
      </c>
      <c r="G149" s="28">
        <f>IF(ISNUMBER(E149),IF(VAT_Return!B16="Flat Rate Scheme",0,ROUND(E149*IF(F149=0.2,0.2,IF(F149=0.05,0.05,0)),2)),0)</f>
        <v>0</v>
      </c>
      <c r="H149" s="28">
        <f t="shared" si="8"/>
        <v>0</v>
      </c>
      <c r="I149" s="29" t="str">
        <f t="shared" si="9"/>
        <v/>
      </c>
    </row>
    <row r="150" spans="1:9" ht="16.5" customHeight="1" x14ac:dyDescent="0.25">
      <c r="A150" s="22">
        <v>146</v>
      </c>
      <c r="B150" s="23"/>
      <c r="C150" s="24"/>
      <c r="D150" s="25"/>
      <c r="E150" s="26"/>
      <c r="F150" s="27">
        <v>0.2</v>
      </c>
      <c r="G150" s="28">
        <f>IF(ISNUMBER(E150),IF(VAT_Return!B16="Flat Rate Scheme",0,ROUND(E150*IF(F150=0.2,0.2,IF(F150=0.05,0.05,0)),2)),0)</f>
        <v>0</v>
      </c>
      <c r="H150" s="28">
        <f t="shared" si="8"/>
        <v>0</v>
      </c>
      <c r="I150" s="30" t="str">
        <f t="shared" si="9"/>
        <v/>
      </c>
    </row>
    <row r="151" spans="1:9" ht="16.5" customHeight="1" x14ac:dyDescent="0.25">
      <c r="A151" s="22">
        <v>147</v>
      </c>
      <c r="B151" s="23"/>
      <c r="C151" s="24"/>
      <c r="D151" s="25"/>
      <c r="E151" s="26"/>
      <c r="F151" s="27">
        <v>0.2</v>
      </c>
      <c r="G151" s="28">
        <f>IF(ISNUMBER(E151),IF(VAT_Return!B16="Flat Rate Scheme",0,ROUND(E151*IF(F151=0.2,0.2,IF(F151=0.05,0.05,0)),2)),0)</f>
        <v>0</v>
      </c>
      <c r="H151" s="28">
        <f t="shared" si="8"/>
        <v>0</v>
      </c>
      <c r="I151" s="29" t="str">
        <f t="shared" si="9"/>
        <v/>
      </c>
    </row>
    <row r="152" spans="1:9" ht="16.5" customHeight="1" x14ac:dyDescent="0.25">
      <c r="A152" s="22">
        <v>148</v>
      </c>
      <c r="B152" s="23"/>
      <c r="C152" s="24"/>
      <c r="D152" s="25"/>
      <c r="E152" s="26"/>
      <c r="F152" s="27">
        <v>0.2</v>
      </c>
      <c r="G152" s="28">
        <f>IF(ISNUMBER(E152),IF(VAT_Return!B16="Flat Rate Scheme",0,ROUND(E152*IF(F152=0.2,0.2,IF(F152=0.05,0.05,0)),2)),0)</f>
        <v>0</v>
      </c>
      <c r="H152" s="28">
        <f t="shared" si="8"/>
        <v>0</v>
      </c>
      <c r="I152" s="30" t="str">
        <f t="shared" si="9"/>
        <v/>
      </c>
    </row>
    <row r="153" spans="1:9" ht="16.5" customHeight="1" x14ac:dyDescent="0.25">
      <c r="A153" s="22">
        <v>149</v>
      </c>
      <c r="B153" s="23"/>
      <c r="C153" s="24"/>
      <c r="D153" s="25"/>
      <c r="E153" s="26"/>
      <c r="F153" s="27">
        <v>0.2</v>
      </c>
      <c r="G153" s="28">
        <f>IF(ISNUMBER(E153),IF(VAT_Return!B16="Flat Rate Scheme",0,ROUND(E153*IF(F153=0.2,0.2,IF(F153=0.05,0.05,0)),2)),0)</f>
        <v>0</v>
      </c>
      <c r="H153" s="28">
        <f t="shared" si="8"/>
        <v>0</v>
      </c>
      <c r="I153" s="29" t="str">
        <f t="shared" si="9"/>
        <v/>
      </c>
    </row>
    <row r="154" spans="1:9" ht="16.5" customHeight="1" x14ac:dyDescent="0.25">
      <c r="A154" s="22">
        <v>150</v>
      </c>
      <c r="B154" s="23"/>
      <c r="C154" s="24"/>
      <c r="D154" s="25"/>
      <c r="E154" s="26"/>
      <c r="F154" s="27">
        <v>0.2</v>
      </c>
      <c r="G154" s="28">
        <f>IF(ISNUMBER(E154),IF(VAT_Return!B16="Flat Rate Scheme",0,ROUND(E154*IF(F154=0.2,0.2,IF(F154=0.05,0.05,0)),2)),0)</f>
        <v>0</v>
      </c>
      <c r="H154" s="28">
        <f t="shared" si="8"/>
        <v>0</v>
      </c>
      <c r="I154" s="30" t="str">
        <f t="shared" si="9"/>
        <v/>
      </c>
    </row>
    <row r="155" spans="1:9" ht="16.5" customHeight="1" x14ac:dyDescent="0.25">
      <c r="A155" s="22">
        <v>151</v>
      </c>
      <c r="B155" s="23"/>
      <c r="C155" s="24"/>
      <c r="D155" s="25"/>
      <c r="E155" s="26"/>
      <c r="F155" s="27">
        <v>0.2</v>
      </c>
      <c r="G155" s="28">
        <f>IF(ISNUMBER(E155),IF(VAT_Return!B16="Flat Rate Scheme",0,ROUND(E155*IF(F155=0.2,0.2,IF(F155=0.05,0.05,0)),2)),0)</f>
        <v>0</v>
      </c>
      <c r="H155" s="28">
        <f t="shared" si="8"/>
        <v>0</v>
      </c>
      <c r="I155" s="29" t="str">
        <f t="shared" si="9"/>
        <v/>
      </c>
    </row>
    <row r="156" spans="1:9" ht="16.5" customHeight="1" x14ac:dyDescent="0.25">
      <c r="A156" s="22">
        <v>152</v>
      </c>
      <c r="B156" s="23"/>
      <c r="C156" s="24"/>
      <c r="D156" s="25"/>
      <c r="E156" s="26"/>
      <c r="F156" s="27">
        <v>0.2</v>
      </c>
      <c r="G156" s="28">
        <f>IF(ISNUMBER(E156),IF(VAT_Return!B16="Flat Rate Scheme",0,ROUND(E156*IF(F156=0.2,0.2,IF(F156=0.05,0.05,0)),2)),0)</f>
        <v>0</v>
      </c>
      <c r="H156" s="28">
        <f t="shared" si="8"/>
        <v>0</v>
      </c>
      <c r="I156" s="30" t="str">
        <f t="shared" si="9"/>
        <v/>
      </c>
    </row>
    <row r="157" spans="1:9" ht="16.5" customHeight="1" x14ac:dyDescent="0.25">
      <c r="A157" s="22">
        <v>153</v>
      </c>
      <c r="B157" s="23"/>
      <c r="C157" s="24"/>
      <c r="D157" s="25"/>
      <c r="E157" s="26"/>
      <c r="F157" s="27">
        <v>0.2</v>
      </c>
      <c r="G157" s="28">
        <f>IF(ISNUMBER(E157),IF(VAT_Return!B16="Flat Rate Scheme",0,ROUND(E157*IF(F157=0.2,0.2,IF(F157=0.05,0.05,0)),2)),0)</f>
        <v>0</v>
      </c>
      <c r="H157" s="28">
        <f t="shared" si="8"/>
        <v>0</v>
      </c>
      <c r="I157" s="29" t="str">
        <f t="shared" si="9"/>
        <v/>
      </c>
    </row>
    <row r="158" spans="1:9" ht="16.5" customHeight="1" x14ac:dyDescent="0.25">
      <c r="A158" s="22">
        <v>154</v>
      </c>
      <c r="B158" s="23"/>
      <c r="C158" s="24"/>
      <c r="D158" s="25"/>
      <c r="E158" s="26"/>
      <c r="F158" s="27">
        <v>0.2</v>
      </c>
      <c r="G158" s="28">
        <f>IF(ISNUMBER(E158),IF(VAT_Return!B16="Flat Rate Scheme",0,ROUND(E158*IF(F158=0.2,0.2,IF(F158=0.05,0.05,0)),2)),0)</f>
        <v>0</v>
      </c>
      <c r="H158" s="28">
        <f t="shared" si="8"/>
        <v>0</v>
      </c>
      <c r="I158" s="30" t="str">
        <f t="shared" si="9"/>
        <v/>
      </c>
    </row>
    <row r="159" spans="1:9" ht="16.5" customHeight="1" x14ac:dyDescent="0.25">
      <c r="A159" s="22">
        <v>155</v>
      </c>
      <c r="B159" s="23"/>
      <c r="C159" s="24"/>
      <c r="D159" s="25"/>
      <c r="E159" s="26"/>
      <c r="F159" s="27">
        <v>0.2</v>
      </c>
      <c r="G159" s="28">
        <f>IF(ISNUMBER(E159),IF(VAT_Return!B16="Flat Rate Scheme",0,ROUND(E159*IF(F159=0.2,0.2,IF(F159=0.05,0.05,0)),2)),0)</f>
        <v>0</v>
      </c>
      <c r="H159" s="28">
        <f t="shared" si="8"/>
        <v>0</v>
      </c>
      <c r="I159" s="29" t="str">
        <f t="shared" si="9"/>
        <v/>
      </c>
    </row>
    <row r="160" spans="1:9" ht="16.5" customHeight="1" x14ac:dyDescent="0.25">
      <c r="A160" s="22">
        <v>156</v>
      </c>
      <c r="B160" s="23"/>
      <c r="C160" s="24"/>
      <c r="D160" s="25"/>
      <c r="E160" s="26"/>
      <c r="F160" s="27">
        <v>0.2</v>
      </c>
      <c r="G160" s="28">
        <f>IF(ISNUMBER(E160),IF(VAT_Return!B16="Flat Rate Scheme",0,ROUND(E160*IF(F160=0.2,0.2,IF(F160=0.05,0.05,0)),2)),0)</f>
        <v>0</v>
      </c>
      <c r="H160" s="28">
        <f t="shared" si="8"/>
        <v>0</v>
      </c>
      <c r="I160" s="30" t="str">
        <f t="shared" si="9"/>
        <v/>
      </c>
    </row>
    <row r="161" spans="1:9" ht="16.5" customHeight="1" x14ac:dyDescent="0.25">
      <c r="A161" s="22">
        <v>157</v>
      </c>
      <c r="B161" s="23"/>
      <c r="C161" s="24"/>
      <c r="D161" s="25"/>
      <c r="E161" s="26"/>
      <c r="F161" s="27">
        <v>0.2</v>
      </c>
      <c r="G161" s="28">
        <f>IF(ISNUMBER(E161),IF(VAT_Return!B16="Flat Rate Scheme",0,ROUND(E161*IF(F161=0.2,0.2,IF(F161=0.05,0.05,0)),2)),0)</f>
        <v>0</v>
      </c>
      <c r="H161" s="28">
        <f t="shared" si="8"/>
        <v>0</v>
      </c>
      <c r="I161" s="29" t="str">
        <f t="shared" si="9"/>
        <v/>
      </c>
    </row>
    <row r="162" spans="1:9" ht="16.5" customHeight="1" x14ac:dyDescent="0.25">
      <c r="A162" s="22">
        <v>158</v>
      </c>
      <c r="B162" s="23"/>
      <c r="C162" s="24"/>
      <c r="D162" s="25"/>
      <c r="E162" s="26"/>
      <c r="F162" s="27">
        <v>0.2</v>
      </c>
      <c r="G162" s="28">
        <f>IF(ISNUMBER(E162),IF(VAT_Return!B16="Flat Rate Scheme",0,ROUND(E162*IF(F162=0.2,0.2,IF(F162=0.05,0.05,0)),2)),0)</f>
        <v>0</v>
      </c>
      <c r="H162" s="28">
        <f t="shared" si="8"/>
        <v>0</v>
      </c>
      <c r="I162" s="30" t="str">
        <f t="shared" si="9"/>
        <v/>
      </c>
    </row>
    <row r="163" spans="1:9" ht="16.5" customHeight="1" x14ac:dyDescent="0.25">
      <c r="A163" s="22">
        <v>159</v>
      </c>
      <c r="B163" s="23"/>
      <c r="C163" s="24"/>
      <c r="D163" s="25"/>
      <c r="E163" s="26"/>
      <c r="F163" s="27">
        <v>0.2</v>
      </c>
      <c r="G163" s="28">
        <f>IF(ISNUMBER(E163),IF(VAT_Return!B16="Flat Rate Scheme",0,ROUND(E163*IF(F163=0.2,0.2,IF(F163=0.05,0.05,0)),2)),0)</f>
        <v>0</v>
      </c>
      <c r="H163" s="28">
        <f t="shared" si="8"/>
        <v>0</v>
      </c>
      <c r="I163" s="29" t="str">
        <f t="shared" si="9"/>
        <v/>
      </c>
    </row>
    <row r="164" spans="1:9" ht="16.5" customHeight="1" x14ac:dyDescent="0.25">
      <c r="A164" s="22">
        <v>160</v>
      </c>
      <c r="B164" s="23"/>
      <c r="C164" s="24"/>
      <c r="D164" s="25"/>
      <c r="E164" s="26"/>
      <c r="F164" s="27">
        <v>0.2</v>
      </c>
      <c r="G164" s="28">
        <f>IF(ISNUMBER(E164),IF(VAT_Return!B16="Flat Rate Scheme",0,ROUND(E164*IF(F164=0.2,0.2,IF(F164=0.05,0.05,0)),2)),0)</f>
        <v>0</v>
      </c>
      <c r="H164" s="28">
        <f t="shared" si="8"/>
        <v>0</v>
      </c>
      <c r="I164" s="30" t="str">
        <f t="shared" si="9"/>
        <v/>
      </c>
    </row>
    <row r="165" spans="1:9" ht="16.5" customHeight="1" x14ac:dyDescent="0.25">
      <c r="A165" s="22">
        <v>161</v>
      </c>
      <c r="B165" s="23"/>
      <c r="C165" s="24"/>
      <c r="D165" s="25"/>
      <c r="E165" s="26"/>
      <c r="F165" s="27">
        <v>0.2</v>
      </c>
      <c r="G165" s="28">
        <f>IF(ISNUMBER(E165),IF(VAT_Return!B16="Flat Rate Scheme",0,ROUND(E165*IF(F165=0.2,0.2,IF(F165=0.05,0.05,0)),2)),0)</f>
        <v>0</v>
      </c>
      <c r="H165" s="28">
        <f t="shared" ref="H165:H196" si="10">IF(ISNUMBER(E165),ROUND(E165+G165,2),0)</f>
        <v>0</v>
      </c>
      <c r="I165" s="29" t="str">
        <f t="shared" ref="I165:I196" si="11">IF(E165="","",IF(ISNUMBER(E165),IF(E165&gt;0,"✓ OK","⚠ Check Net"),"⚠ Not a number"))</f>
        <v/>
      </c>
    </row>
    <row r="166" spans="1:9" ht="16.5" customHeight="1" x14ac:dyDescent="0.25">
      <c r="A166" s="22">
        <v>162</v>
      </c>
      <c r="B166" s="23"/>
      <c r="C166" s="24"/>
      <c r="D166" s="25"/>
      <c r="E166" s="26"/>
      <c r="F166" s="27">
        <v>0.2</v>
      </c>
      <c r="G166" s="28">
        <f>IF(ISNUMBER(E166),IF(VAT_Return!B16="Flat Rate Scheme",0,ROUND(E166*IF(F166=0.2,0.2,IF(F166=0.05,0.05,0)),2)),0)</f>
        <v>0</v>
      </c>
      <c r="H166" s="28">
        <f t="shared" si="10"/>
        <v>0</v>
      </c>
      <c r="I166" s="30" t="str">
        <f t="shared" si="11"/>
        <v/>
      </c>
    </row>
    <row r="167" spans="1:9" ht="16.5" customHeight="1" x14ac:dyDescent="0.25">
      <c r="A167" s="22">
        <v>163</v>
      </c>
      <c r="B167" s="23"/>
      <c r="C167" s="24"/>
      <c r="D167" s="25"/>
      <c r="E167" s="26"/>
      <c r="F167" s="27">
        <v>0.2</v>
      </c>
      <c r="G167" s="28">
        <f>IF(ISNUMBER(E167),IF(VAT_Return!B16="Flat Rate Scheme",0,ROUND(E167*IF(F167=0.2,0.2,IF(F167=0.05,0.05,0)),2)),0)</f>
        <v>0</v>
      </c>
      <c r="H167" s="28">
        <f t="shared" si="10"/>
        <v>0</v>
      </c>
      <c r="I167" s="29" t="str">
        <f t="shared" si="11"/>
        <v/>
      </c>
    </row>
    <row r="168" spans="1:9" ht="16.5" customHeight="1" x14ac:dyDescent="0.25">
      <c r="A168" s="22">
        <v>164</v>
      </c>
      <c r="B168" s="23"/>
      <c r="C168" s="24"/>
      <c r="D168" s="25"/>
      <c r="E168" s="26"/>
      <c r="F168" s="27">
        <v>0.2</v>
      </c>
      <c r="G168" s="28">
        <f>IF(ISNUMBER(E168),IF(VAT_Return!B16="Flat Rate Scheme",0,ROUND(E168*IF(F168=0.2,0.2,IF(F168=0.05,0.05,0)),2)),0)</f>
        <v>0</v>
      </c>
      <c r="H168" s="28">
        <f t="shared" si="10"/>
        <v>0</v>
      </c>
      <c r="I168" s="30" t="str">
        <f t="shared" si="11"/>
        <v/>
      </c>
    </row>
    <row r="169" spans="1:9" ht="16.5" customHeight="1" x14ac:dyDescent="0.25">
      <c r="A169" s="22">
        <v>165</v>
      </c>
      <c r="B169" s="23"/>
      <c r="C169" s="24"/>
      <c r="D169" s="25"/>
      <c r="E169" s="26"/>
      <c r="F169" s="27">
        <v>0.2</v>
      </c>
      <c r="G169" s="28">
        <f>IF(ISNUMBER(E169),IF(VAT_Return!B16="Flat Rate Scheme",0,ROUND(E169*IF(F169=0.2,0.2,IF(F169=0.05,0.05,0)),2)),0)</f>
        <v>0</v>
      </c>
      <c r="H169" s="28">
        <f t="shared" si="10"/>
        <v>0</v>
      </c>
      <c r="I169" s="29" t="str">
        <f t="shared" si="11"/>
        <v/>
      </c>
    </row>
    <row r="170" spans="1:9" ht="16.5" customHeight="1" x14ac:dyDescent="0.25">
      <c r="A170" s="22">
        <v>166</v>
      </c>
      <c r="B170" s="23"/>
      <c r="C170" s="24"/>
      <c r="D170" s="25"/>
      <c r="E170" s="26"/>
      <c r="F170" s="27">
        <v>0.2</v>
      </c>
      <c r="G170" s="28">
        <f>IF(ISNUMBER(E170),IF(VAT_Return!B16="Flat Rate Scheme",0,ROUND(E170*IF(F170=0.2,0.2,IF(F170=0.05,0.05,0)),2)),0)</f>
        <v>0</v>
      </c>
      <c r="H170" s="28">
        <f t="shared" si="10"/>
        <v>0</v>
      </c>
      <c r="I170" s="30" t="str">
        <f t="shared" si="11"/>
        <v/>
      </c>
    </row>
    <row r="171" spans="1:9" ht="16.5" customHeight="1" x14ac:dyDescent="0.25">
      <c r="A171" s="22">
        <v>167</v>
      </c>
      <c r="B171" s="23"/>
      <c r="C171" s="24"/>
      <c r="D171" s="25"/>
      <c r="E171" s="26"/>
      <c r="F171" s="27">
        <v>0.2</v>
      </c>
      <c r="G171" s="28">
        <f>IF(ISNUMBER(E171),IF(VAT_Return!B16="Flat Rate Scheme",0,ROUND(E171*IF(F171=0.2,0.2,IF(F171=0.05,0.05,0)),2)),0)</f>
        <v>0</v>
      </c>
      <c r="H171" s="28">
        <f t="shared" si="10"/>
        <v>0</v>
      </c>
      <c r="I171" s="29" t="str">
        <f t="shared" si="11"/>
        <v/>
      </c>
    </row>
    <row r="172" spans="1:9" ht="16.5" customHeight="1" x14ac:dyDescent="0.25">
      <c r="A172" s="22">
        <v>168</v>
      </c>
      <c r="B172" s="23"/>
      <c r="C172" s="24"/>
      <c r="D172" s="25"/>
      <c r="E172" s="26"/>
      <c r="F172" s="27">
        <v>0.2</v>
      </c>
      <c r="G172" s="28">
        <f>IF(ISNUMBER(E172),IF(VAT_Return!B16="Flat Rate Scheme",0,ROUND(E172*IF(F172=0.2,0.2,IF(F172=0.05,0.05,0)),2)),0)</f>
        <v>0</v>
      </c>
      <c r="H172" s="28">
        <f t="shared" si="10"/>
        <v>0</v>
      </c>
      <c r="I172" s="30" t="str">
        <f t="shared" si="11"/>
        <v/>
      </c>
    </row>
    <row r="173" spans="1:9" ht="16.5" customHeight="1" x14ac:dyDescent="0.25">
      <c r="A173" s="22">
        <v>169</v>
      </c>
      <c r="B173" s="23"/>
      <c r="C173" s="24"/>
      <c r="D173" s="25"/>
      <c r="E173" s="26"/>
      <c r="F173" s="27">
        <v>0.2</v>
      </c>
      <c r="G173" s="28">
        <f>IF(ISNUMBER(E173),IF(VAT_Return!B16="Flat Rate Scheme",0,ROUND(E173*IF(F173=0.2,0.2,IF(F173=0.05,0.05,0)),2)),0)</f>
        <v>0</v>
      </c>
      <c r="H173" s="28">
        <f t="shared" si="10"/>
        <v>0</v>
      </c>
      <c r="I173" s="29" t="str">
        <f t="shared" si="11"/>
        <v/>
      </c>
    </row>
    <row r="174" spans="1:9" ht="16.5" customHeight="1" x14ac:dyDescent="0.25">
      <c r="A174" s="22">
        <v>170</v>
      </c>
      <c r="B174" s="23"/>
      <c r="C174" s="24"/>
      <c r="D174" s="25"/>
      <c r="E174" s="26"/>
      <c r="F174" s="27">
        <v>0.2</v>
      </c>
      <c r="G174" s="28">
        <f>IF(ISNUMBER(E174),IF(VAT_Return!B16="Flat Rate Scheme",0,ROUND(E174*IF(F174=0.2,0.2,IF(F174=0.05,0.05,0)),2)),0)</f>
        <v>0</v>
      </c>
      <c r="H174" s="28">
        <f t="shared" si="10"/>
        <v>0</v>
      </c>
      <c r="I174" s="30" t="str">
        <f t="shared" si="11"/>
        <v/>
      </c>
    </row>
    <row r="175" spans="1:9" ht="16.5" customHeight="1" x14ac:dyDescent="0.25">
      <c r="A175" s="22">
        <v>171</v>
      </c>
      <c r="B175" s="23"/>
      <c r="C175" s="24"/>
      <c r="D175" s="25"/>
      <c r="E175" s="26"/>
      <c r="F175" s="27">
        <v>0.2</v>
      </c>
      <c r="G175" s="28">
        <f>IF(ISNUMBER(E175),IF(VAT_Return!B16="Flat Rate Scheme",0,ROUND(E175*IF(F175=0.2,0.2,IF(F175=0.05,0.05,0)),2)),0)</f>
        <v>0</v>
      </c>
      <c r="H175" s="28">
        <f t="shared" si="10"/>
        <v>0</v>
      </c>
      <c r="I175" s="29" t="str">
        <f t="shared" si="11"/>
        <v/>
      </c>
    </row>
    <row r="176" spans="1:9" ht="16.5" customHeight="1" x14ac:dyDescent="0.25">
      <c r="A176" s="22">
        <v>172</v>
      </c>
      <c r="B176" s="23"/>
      <c r="C176" s="24"/>
      <c r="D176" s="25"/>
      <c r="E176" s="26"/>
      <c r="F176" s="27">
        <v>0.2</v>
      </c>
      <c r="G176" s="28">
        <f>IF(ISNUMBER(E176),IF(VAT_Return!B16="Flat Rate Scheme",0,ROUND(E176*IF(F176=0.2,0.2,IF(F176=0.05,0.05,0)),2)),0)</f>
        <v>0</v>
      </c>
      <c r="H176" s="28">
        <f t="shared" si="10"/>
        <v>0</v>
      </c>
      <c r="I176" s="30" t="str">
        <f t="shared" si="11"/>
        <v/>
      </c>
    </row>
    <row r="177" spans="1:9" ht="16.5" customHeight="1" x14ac:dyDescent="0.25">
      <c r="A177" s="22">
        <v>173</v>
      </c>
      <c r="B177" s="23"/>
      <c r="C177" s="24"/>
      <c r="D177" s="25"/>
      <c r="E177" s="26"/>
      <c r="F177" s="27">
        <v>0.2</v>
      </c>
      <c r="G177" s="28">
        <f>IF(ISNUMBER(E177),IF(VAT_Return!B16="Flat Rate Scheme",0,ROUND(E177*IF(F177=0.2,0.2,IF(F177=0.05,0.05,0)),2)),0)</f>
        <v>0</v>
      </c>
      <c r="H177" s="28">
        <f t="shared" si="10"/>
        <v>0</v>
      </c>
      <c r="I177" s="29" t="str">
        <f t="shared" si="11"/>
        <v/>
      </c>
    </row>
    <row r="178" spans="1:9" ht="16.5" customHeight="1" x14ac:dyDescent="0.25">
      <c r="A178" s="22">
        <v>174</v>
      </c>
      <c r="B178" s="23"/>
      <c r="C178" s="24"/>
      <c r="D178" s="25"/>
      <c r="E178" s="26"/>
      <c r="F178" s="27">
        <v>0.2</v>
      </c>
      <c r="G178" s="28">
        <f>IF(ISNUMBER(E178),IF(VAT_Return!B16="Flat Rate Scheme",0,ROUND(E178*IF(F178=0.2,0.2,IF(F178=0.05,0.05,0)),2)),0)</f>
        <v>0</v>
      </c>
      <c r="H178" s="28">
        <f t="shared" si="10"/>
        <v>0</v>
      </c>
      <c r="I178" s="30" t="str">
        <f t="shared" si="11"/>
        <v/>
      </c>
    </row>
    <row r="179" spans="1:9" ht="16.5" customHeight="1" x14ac:dyDescent="0.25">
      <c r="A179" s="22">
        <v>175</v>
      </c>
      <c r="B179" s="23"/>
      <c r="C179" s="24"/>
      <c r="D179" s="25"/>
      <c r="E179" s="26"/>
      <c r="F179" s="27">
        <v>0.2</v>
      </c>
      <c r="G179" s="28">
        <f>IF(ISNUMBER(E179),IF(VAT_Return!B16="Flat Rate Scheme",0,ROUND(E179*IF(F179=0.2,0.2,IF(F179=0.05,0.05,0)),2)),0)</f>
        <v>0</v>
      </c>
      <c r="H179" s="28">
        <f t="shared" si="10"/>
        <v>0</v>
      </c>
      <c r="I179" s="29" t="str">
        <f t="shared" si="11"/>
        <v/>
      </c>
    </row>
    <row r="180" spans="1:9" ht="16.5" customHeight="1" x14ac:dyDescent="0.25">
      <c r="A180" s="22">
        <v>176</v>
      </c>
      <c r="B180" s="23"/>
      <c r="C180" s="24"/>
      <c r="D180" s="25"/>
      <c r="E180" s="26"/>
      <c r="F180" s="27">
        <v>0.2</v>
      </c>
      <c r="G180" s="28">
        <f>IF(ISNUMBER(E180),IF(VAT_Return!B16="Flat Rate Scheme",0,ROUND(E180*IF(F180=0.2,0.2,IF(F180=0.05,0.05,0)),2)),0)</f>
        <v>0</v>
      </c>
      <c r="H180" s="28">
        <f t="shared" si="10"/>
        <v>0</v>
      </c>
      <c r="I180" s="30" t="str">
        <f t="shared" si="11"/>
        <v/>
      </c>
    </row>
    <row r="181" spans="1:9" ht="16.5" customHeight="1" x14ac:dyDescent="0.25">
      <c r="A181" s="22">
        <v>177</v>
      </c>
      <c r="B181" s="23"/>
      <c r="C181" s="24"/>
      <c r="D181" s="25"/>
      <c r="E181" s="26"/>
      <c r="F181" s="27">
        <v>0.2</v>
      </c>
      <c r="G181" s="28">
        <f>IF(ISNUMBER(E181),IF(VAT_Return!B16="Flat Rate Scheme",0,ROUND(E181*IF(F181=0.2,0.2,IF(F181=0.05,0.05,0)),2)),0)</f>
        <v>0</v>
      </c>
      <c r="H181" s="28">
        <f t="shared" si="10"/>
        <v>0</v>
      </c>
      <c r="I181" s="29" t="str">
        <f t="shared" si="11"/>
        <v/>
      </c>
    </row>
    <row r="182" spans="1:9" ht="16.5" customHeight="1" x14ac:dyDescent="0.25">
      <c r="A182" s="22">
        <v>178</v>
      </c>
      <c r="B182" s="23"/>
      <c r="C182" s="24"/>
      <c r="D182" s="25"/>
      <c r="E182" s="26"/>
      <c r="F182" s="27">
        <v>0.2</v>
      </c>
      <c r="G182" s="28">
        <f>IF(ISNUMBER(E182),IF(VAT_Return!B16="Flat Rate Scheme",0,ROUND(E182*IF(F182=0.2,0.2,IF(F182=0.05,0.05,0)),2)),0)</f>
        <v>0</v>
      </c>
      <c r="H182" s="28">
        <f t="shared" si="10"/>
        <v>0</v>
      </c>
      <c r="I182" s="30" t="str">
        <f t="shared" si="11"/>
        <v/>
      </c>
    </row>
    <row r="183" spans="1:9" ht="16.5" customHeight="1" x14ac:dyDescent="0.25">
      <c r="A183" s="22">
        <v>179</v>
      </c>
      <c r="B183" s="23"/>
      <c r="C183" s="24"/>
      <c r="D183" s="25"/>
      <c r="E183" s="26"/>
      <c r="F183" s="27">
        <v>0.2</v>
      </c>
      <c r="G183" s="28">
        <f>IF(ISNUMBER(E183),IF(VAT_Return!B16="Flat Rate Scheme",0,ROUND(E183*IF(F183=0.2,0.2,IF(F183=0.05,0.05,0)),2)),0)</f>
        <v>0</v>
      </c>
      <c r="H183" s="28">
        <f t="shared" si="10"/>
        <v>0</v>
      </c>
      <c r="I183" s="29" t="str">
        <f t="shared" si="11"/>
        <v/>
      </c>
    </row>
    <row r="184" spans="1:9" ht="16.5" customHeight="1" x14ac:dyDescent="0.25">
      <c r="A184" s="22">
        <v>180</v>
      </c>
      <c r="B184" s="23"/>
      <c r="C184" s="24"/>
      <c r="D184" s="25"/>
      <c r="E184" s="26"/>
      <c r="F184" s="27">
        <v>0.2</v>
      </c>
      <c r="G184" s="28">
        <f>IF(ISNUMBER(E184),IF(VAT_Return!B16="Flat Rate Scheme",0,ROUND(E184*IF(F184=0.2,0.2,IF(F184=0.05,0.05,0)),2)),0)</f>
        <v>0</v>
      </c>
      <c r="H184" s="28">
        <f t="shared" si="10"/>
        <v>0</v>
      </c>
      <c r="I184" s="30" t="str">
        <f t="shared" si="11"/>
        <v/>
      </c>
    </row>
    <row r="185" spans="1:9" ht="16.5" customHeight="1" x14ac:dyDescent="0.25">
      <c r="A185" s="22">
        <v>181</v>
      </c>
      <c r="B185" s="23"/>
      <c r="C185" s="24"/>
      <c r="D185" s="25"/>
      <c r="E185" s="26"/>
      <c r="F185" s="27">
        <v>0.2</v>
      </c>
      <c r="G185" s="28">
        <f>IF(ISNUMBER(E185),IF(VAT_Return!B16="Flat Rate Scheme",0,ROUND(E185*IF(F185=0.2,0.2,IF(F185=0.05,0.05,0)),2)),0)</f>
        <v>0</v>
      </c>
      <c r="H185" s="28">
        <f t="shared" si="10"/>
        <v>0</v>
      </c>
      <c r="I185" s="29" t="str">
        <f t="shared" si="11"/>
        <v/>
      </c>
    </row>
    <row r="186" spans="1:9" ht="16.5" customHeight="1" x14ac:dyDescent="0.25">
      <c r="A186" s="22">
        <v>182</v>
      </c>
      <c r="B186" s="23"/>
      <c r="C186" s="24"/>
      <c r="D186" s="25"/>
      <c r="E186" s="26"/>
      <c r="F186" s="27">
        <v>0.2</v>
      </c>
      <c r="G186" s="28">
        <f>IF(ISNUMBER(E186),IF(VAT_Return!B16="Flat Rate Scheme",0,ROUND(E186*IF(F186=0.2,0.2,IF(F186=0.05,0.05,0)),2)),0)</f>
        <v>0</v>
      </c>
      <c r="H186" s="28">
        <f t="shared" si="10"/>
        <v>0</v>
      </c>
      <c r="I186" s="30" t="str">
        <f t="shared" si="11"/>
        <v/>
      </c>
    </row>
    <row r="187" spans="1:9" ht="16.5" customHeight="1" x14ac:dyDescent="0.25">
      <c r="A187" s="22">
        <v>183</v>
      </c>
      <c r="B187" s="23"/>
      <c r="C187" s="24"/>
      <c r="D187" s="25"/>
      <c r="E187" s="26"/>
      <c r="F187" s="27">
        <v>0.2</v>
      </c>
      <c r="G187" s="28">
        <f>IF(ISNUMBER(E187),IF(VAT_Return!B16="Flat Rate Scheme",0,ROUND(E187*IF(F187=0.2,0.2,IF(F187=0.05,0.05,0)),2)),0)</f>
        <v>0</v>
      </c>
      <c r="H187" s="28">
        <f t="shared" si="10"/>
        <v>0</v>
      </c>
      <c r="I187" s="29" t="str">
        <f t="shared" si="11"/>
        <v/>
      </c>
    </row>
    <row r="188" spans="1:9" ht="16.5" customHeight="1" x14ac:dyDescent="0.25">
      <c r="A188" s="22">
        <v>184</v>
      </c>
      <c r="B188" s="23"/>
      <c r="C188" s="24"/>
      <c r="D188" s="25"/>
      <c r="E188" s="26"/>
      <c r="F188" s="27">
        <v>0.2</v>
      </c>
      <c r="G188" s="28">
        <f>IF(ISNUMBER(E188),IF(VAT_Return!B16="Flat Rate Scheme",0,ROUND(E188*IF(F188=0.2,0.2,IF(F188=0.05,0.05,0)),2)),0)</f>
        <v>0</v>
      </c>
      <c r="H188" s="28">
        <f t="shared" si="10"/>
        <v>0</v>
      </c>
      <c r="I188" s="30" t="str">
        <f t="shared" si="11"/>
        <v/>
      </c>
    </row>
    <row r="189" spans="1:9" ht="16.5" customHeight="1" x14ac:dyDescent="0.25">
      <c r="A189" s="22">
        <v>185</v>
      </c>
      <c r="B189" s="23"/>
      <c r="C189" s="24"/>
      <c r="D189" s="25"/>
      <c r="E189" s="26"/>
      <c r="F189" s="27">
        <v>0.2</v>
      </c>
      <c r="G189" s="28">
        <f>IF(ISNUMBER(E189),IF(VAT_Return!B16="Flat Rate Scheme",0,ROUND(E189*IF(F189=0.2,0.2,IF(F189=0.05,0.05,0)),2)),0)</f>
        <v>0</v>
      </c>
      <c r="H189" s="28">
        <f t="shared" si="10"/>
        <v>0</v>
      </c>
      <c r="I189" s="29" t="str">
        <f t="shared" si="11"/>
        <v/>
      </c>
    </row>
    <row r="190" spans="1:9" ht="16.5" customHeight="1" x14ac:dyDescent="0.25">
      <c r="A190" s="22">
        <v>186</v>
      </c>
      <c r="B190" s="23"/>
      <c r="C190" s="24"/>
      <c r="D190" s="25"/>
      <c r="E190" s="26"/>
      <c r="F190" s="27">
        <v>0.2</v>
      </c>
      <c r="G190" s="28">
        <f>IF(ISNUMBER(E190),IF(VAT_Return!B16="Flat Rate Scheme",0,ROUND(E190*IF(F190=0.2,0.2,IF(F190=0.05,0.05,0)),2)),0)</f>
        <v>0</v>
      </c>
      <c r="H190" s="28">
        <f t="shared" si="10"/>
        <v>0</v>
      </c>
      <c r="I190" s="30" t="str">
        <f t="shared" si="11"/>
        <v/>
      </c>
    </row>
    <row r="191" spans="1:9" ht="16.5" customHeight="1" x14ac:dyDescent="0.25">
      <c r="A191" s="22">
        <v>187</v>
      </c>
      <c r="B191" s="23"/>
      <c r="C191" s="24"/>
      <c r="D191" s="25"/>
      <c r="E191" s="26"/>
      <c r="F191" s="27">
        <v>0.2</v>
      </c>
      <c r="G191" s="28">
        <f>IF(ISNUMBER(E191),IF(VAT_Return!B16="Flat Rate Scheme",0,ROUND(E191*IF(F191=0.2,0.2,IF(F191=0.05,0.05,0)),2)),0)</f>
        <v>0</v>
      </c>
      <c r="H191" s="28">
        <f t="shared" si="10"/>
        <v>0</v>
      </c>
      <c r="I191" s="29" t="str">
        <f t="shared" si="11"/>
        <v/>
      </c>
    </row>
    <row r="192" spans="1:9" ht="16.5" customHeight="1" x14ac:dyDescent="0.25">
      <c r="A192" s="22">
        <v>188</v>
      </c>
      <c r="B192" s="23"/>
      <c r="C192" s="24"/>
      <c r="D192" s="25"/>
      <c r="E192" s="26"/>
      <c r="F192" s="27">
        <v>0.2</v>
      </c>
      <c r="G192" s="28">
        <f>IF(ISNUMBER(E192),IF(VAT_Return!B16="Flat Rate Scheme",0,ROUND(E192*IF(F192=0.2,0.2,IF(F192=0.05,0.05,0)),2)),0)</f>
        <v>0</v>
      </c>
      <c r="H192" s="28">
        <f t="shared" si="10"/>
        <v>0</v>
      </c>
      <c r="I192" s="30" t="str">
        <f t="shared" si="11"/>
        <v/>
      </c>
    </row>
    <row r="193" spans="1:9" ht="16.5" customHeight="1" x14ac:dyDescent="0.25">
      <c r="A193" s="22">
        <v>189</v>
      </c>
      <c r="B193" s="23"/>
      <c r="C193" s="24"/>
      <c r="D193" s="25"/>
      <c r="E193" s="26"/>
      <c r="F193" s="27">
        <v>0.2</v>
      </c>
      <c r="G193" s="28">
        <f>IF(ISNUMBER(E193),IF(VAT_Return!B16="Flat Rate Scheme",0,ROUND(E193*IF(F193=0.2,0.2,IF(F193=0.05,0.05,0)),2)),0)</f>
        <v>0</v>
      </c>
      <c r="H193" s="28">
        <f t="shared" si="10"/>
        <v>0</v>
      </c>
      <c r="I193" s="29" t="str">
        <f t="shared" si="11"/>
        <v/>
      </c>
    </row>
    <row r="194" spans="1:9" ht="16.5" customHeight="1" x14ac:dyDescent="0.25">
      <c r="A194" s="22">
        <v>190</v>
      </c>
      <c r="B194" s="23"/>
      <c r="C194" s="24"/>
      <c r="D194" s="25"/>
      <c r="E194" s="26"/>
      <c r="F194" s="27">
        <v>0.2</v>
      </c>
      <c r="G194" s="28">
        <f>IF(ISNUMBER(E194),IF(VAT_Return!B16="Flat Rate Scheme",0,ROUND(E194*IF(F194=0.2,0.2,IF(F194=0.05,0.05,0)),2)),0)</f>
        <v>0</v>
      </c>
      <c r="H194" s="28">
        <f t="shared" si="10"/>
        <v>0</v>
      </c>
      <c r="I194" s="30" t="str">
        <f t="shared" si="11"/>
        <v/>
      </c>
    </row>
    <row r="195" spans="1:9" ht="16.5" customHeight="1" x14ac:dyDescent="0.25">
      <c r="A195" s="22">
        <v>191</v>
      </c>
      <c r="B195" s="23"/>
      <c r="C195" s="24"/>
      <c r="D195" s="25"/>
      <c r="E195" s="26"/>
      <c r="F195" s="27">
        <v>0.2</v>
      </c>
      <c r="G195" s="28">
        <f>IF(ISNUMBER(E195),IF(VAT_Return!B16="Flat Rate Scheme",0,ROUND(E195*IF(F195=0.2,0.2,IF(F195=0.05,0.05,0)),2)),0)</f>
        <v>0</v>
      </c>
      <c r="H195" s="28">
        <f t="shared" si="10"/>
        <v>0</v>
      </c>
      <c r="I195" s="29" t="str">
        <f t="shared" si="11"/>
        <v/>
      </c>
    </row>
    <row r="196" spans="1:9" ht="16.5" customHeight="1" x14ac:dyDescent="0.25">
      <c r="A196" s="22">
        <v>192</v>
      </c>
      <c r="B196" s="23"/>
      <c r="C196" s="24"/>
      <c r="D196" s="25"/>
      <c r="E196" s="26"/>
      <c r="F196" s="27">
        <v>0.2</v>
      </c>
      <c r="G196" s="28">
        <f>IF(ISNUMBER(E196),IF(VAT_Return!B16="Flat Rate Scheme",0,ROUND(E196*IF(F196=0.2,0.2,IF(F196=0.05,0.05,0)),2)),0)</f>
        <v>0</v>
      </c>
      <c r="H196" s="28">
        <f t="shared" si="10"/>
        <v>0</v>
      </c>
      <c r="I196" s="30" t="str">
        <f t="shared" si="11"/>
        <v/>
      </c>
    </row>
    <row r="197" spans="1:9" ht="16.5" customHeight="1" x14ac:dyDescent="0.25">
      <c r="A197" s="22">
        <v>193</v>
      </c>
      <c r="B197" s="23"/>
      <c r="C197" s="24"/>
      <c r="D197" s="25"/>
      <c r="E197" s="26"/>
      <c r="F197" s="27">
        <v>0.2</v>
      </c>
      <c r="G197" s="28">
        <f>IF(ISNUMBER(E197),IF(VAT_Return!B16="Flat Rate Scheme",0,ROUND(E197*IF(F197=0.2,0.2,IF(F197=0.05,0.05,0)),2)),0)</f>
        <v>0</v>
      </c>
      <c r="H197" s="28">
        <f t="shared" ref="H197:H228" si="12">IF(ISNUMBER(E197),ROUND(E197+G197,2),0)</f>
        <v>0</v>
      </c>
      <c r="I197" s="29" t="str">
        <f t="shared" ref="I197:I204" si="13">IF(E197="","",IF(ISNUMBER(E197),IF(E197&gt;0,"✓ OK","⚠ Check Net"),"⚠ Not a number"))</f>
        <v/>
      </c>
    </row>
    <row r="198" spans="1:9" ht="16.5" customHeight="1" x14ac:dyDescent="0.25">
      <c r="A198" s="22">
        <v>194</v>
      </c>
      <c r="B198" s="23"/>
      <c r="C198" s="24"/>
      <c r="D198" s="25"/>
      <c r="E198" s="26"/>
      <c r="F198" s="27">
        <v>0.2</v>
      </c>
      <c r="G198" s="28">
        <f>IF(ISNUMBER(E198),IF(VAT_Return!B16="Flat Rate Scheme",0,ROUND(E198*IF(F198=0.2,0.2,IF(F198=0.05,0.05,0)),2)),0)</f>
        <v>0</v>
      </c>
      <c r="H198" s="28">
        <f t="shared" si="12"/>
        <v>0</v>
      </c>
      <c r="I198" s="30" t="str">
        <f t="shared" si="13"/>
        <v/>
      </c>
    </row>
    <row r="199" spans="1:9" ht="16.5" customHeight="1" x14ac:dyDescent="0.25">
      <c r="A199" s="22">
        <v>195</v>
      </c>
      <c r="B199" s="23"/>
      <c r="C199" s="24"/>
      <c r="D199" s="25"/>
      <c r="E199" s="26"/>
      <c r="F199" s="27">
        <v>0.2</v>
      </c>
      <c r="G199" s="28">
        <f>IF(ISNUMBER(E199),IF(VAT_Return!B16="Flat Rate Scheme",0,ROUND(E199*IF(F199=0.2,0.2,IF(F199=0.05,0.05,0)),2)),0)</f>
        <v>0</v>
      </c>
      <c r="H199" s="28">
        <f t="shared" si="12"/>
        <v>0</v>
      </c>
      <c r="I199" s="29" t="str">
        <f t="shared" si="13"/>
        <v/>
      </c>
    </row>
    <row r="200" spans="1:9" ht="16.5" customHeight="1" x14ac:dyDescent="0.25">
      <c r="A200" s="22">
        <v>196</v>
      </c>
      <c r="B200" s="23"/>
      <c r="C200" s="24"/>
      <c r="D200" s="25"/>
      <c r="E200" s="26"/>
      <c r="F200" s="27">
        <v>0.2</v>
      </c>
      <c r="G200" s="28">
        <f>IF(ISNUMBER(E200),IF(VAT_Return!B16="Flat Rate Scheme",0,ROUND(E200*IF(F200=0.2,0.2,IF(F200=0.05,0.05,0)),2)),0)</f>
        <v>0</v>
      </c>
      <c r="H200" s="28">
        <f t="shared" si="12"/>
        <v>0</v>
      </c>
      <c r="I200" s="30" t="str">
        <f t="shared" si="13"/>
        <v/>
      </c>
    </row>
    <row r="201" spans="1:9" ht="16.5" customHeight="1" x14ac:dyDescent="0.25">
      <c r="A201" s="22">
        <v>197</v>
      </c>
      <c r="B201" s="23"/>
      <c r="C201" s="24"/>
      <c r="D201" s="25"/>
      <c r="E201" s="26"/>
      <c r="F201" s="27">
        <v>0.2</v>
      </c>
      <c r="G201" s="28">
        <f>IF(ISNUMBER(E201),IF(VAT_Return!B16="Flat Rate Scheme",0,ROUND(E201*IF(F201=0.2,0.2,IF(F201=0.05,0.05,0)),2)),0)</f>
        <v>0</v>
      </c>
      <c r="H201" s="28">
        <f t="shared" si="12"/>
        <v>0</v>
      </c>
      <c r="I201" s="29" t="str">
        <f t="shared" si="13"/>
        <v/>
      </c>
    </row>
    <row r="202" spans="1:9" ht="16.5" customHeight="1" x14ac:dyDescent="0.25">
      <c r="A202" s="22">
        <v>198</v>
      </c>
      <c r="B202" s="23"/>
      <c r="C202" s="24"/>
      <c r="D202" s="25"/>
      <c r="E202" s="26"/>
      <c r="F202" s="27">
        <v>0.2</v>
      </c>
      <c r="G202" s="28">
        <f>IF(ISNUMBER(E202),IF(VAT_Return!B16="Flat Rate Scheme",0,ROUND(E202*IF(F202=0.2,0.2,IF(F202=0.05,0.05,0)),2)),0)</f>
        <v>0</v>
      </c>
      <c r="H202" s="28">
        <f t="shared" si="12"/>
        <v>0</v>
      </c>
      <c r="I202" s="30" t="str">
        <f t="shared" si="13"/>
        <v/>
      </c>
    </row>
    <row r="203" spans="1:9" ht="16.5" customHeight="1" x14ac:dyDescent="0.25">
      <c r="A203" s="22">
        <v>199</v>
      </c>
      <c r="B203" s="23"/>
      <c r="C203" s="24"/>
      <c r="D203" s="25"/>
      <c r="E203" s="26"/>
      <c r="F203" s="27">
        <v>0.2</v>
      </c>
      <c r="G203" s="28">
        <f>IF(ISNUMBER(E203),IF(VAT_Return!B16="Flat Rate Scheme",0,ROUND(E203*IF(F203=0.2,0.2,IF(F203=0.05,0.05,0)),2)),0)</f>
        <v>0</v>
      </c>
      <c r="H203" s="28">
        <f t="shared" si="12"/>
        <v>0</v>
      </c>
      <c r="I203" s="29" t="str">
        <f t="shared" si="13"/>
        <v/>
      </c>
    </row>
    <row r="204" spans="1:9" ht="16.5" customHeight="1" x14ac:dyDescent="0.25">
      <c r="A204" s="22">
        <v>200</v>
      </c>
      <c r="B204" s="23"/>
      <c r="C204" s="24"/>
      <c r="D204" s="25"/>
      <c r="E204" s="26"/>
      <c r="F204" s="27">
        <v>0.2</v>
      </c>
      <c r="G204" s="28">
        <f>IF(ISNUMBER(E204),IF(VAT_Return!B16="Flat Rate Scheme",0,ROUND(E204*IF(F204=0.2,0.2,IF(F204=0.05,0.05,0)),2)),0)</f>
        <v>0</v>
      </c>
      <c r="H204" s="28">
        <f t="shared" si="12"/>
        <v>0</v>
      </c>
      <c r="I204" s="30" t="str">
        <f t="shared" si="13"/>
        <v/>
      </c>
    </row>
    <row r="205" spans="1:9" ht="21.75" customHeight="1" x14ac:dyDescent="0.25">
      <c r="A205" s="50" t="s">
        <v>89</v>
      </c>
      <c r="B205" s="44"/>
      <c r="C205" s="44"/>
      <c r="D205" s="44"/>
      <c r="E205" s="44"/>
      <c r="F205" s="44"/>
      <c r="G205" s="44"/>
      <c r="H205" s="44"/>
      <c r="I205" s="44"/>
    </row>
  </sheetData>
  <mergeCells count="3">
    <mergeCell ref="A1:I1"/>
    <mergeCell ref="A2:I2"/>
    <mergeCell ref="A205:I205"/>
  </mergeCells>
  <dataValidations count="1">
    <dataValidation type="list" sqref="F5:F204" xr:uid="{00000000-0002-0000-0100-000000000000}">
      <formula1>"0,0.05,0.2"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71C1C"/>
  </sheetPr>
  <dimension ref="A1:J205"/>
  <sheetViews>
    <sheetView showGridLines="0" zoomScaleNormal="100" workbookViewId="0">
      <selection activeCell="I8" sqref="I8"/>
    </sheetView>
  </sheetViews>
  <sheetFormatPr defaultColWidth="8.7109375" defaultRowHeight="15" x14ac:dyDescent="0.25"/>
  <cols>
    <col min="1" max="1" width="3" style="1" customWidth="1"/>
    <col min="2" max="2" width="14" style="1" customWidth="1"/>
    <col min="3" max="3" width="26" style="1" customWidth="1"/>
    <col min="4" max="4" width="11" style="1" customWidth="1"/>
    <col min="5" max="5" width="17" style="1" customWidth="1"/>
    <col min="6" max="6" width="9" style="1" customWidth="1"/>
    <col min="7" max="8" width="17" style="1" customWidth="1"/>
    <col min="9" max="9" width="20" style="1" customWidth="1"/>
    <col min="10" max="10" width="12" style="1" customWidth="1"/>
  </cols>
  <sheetData>
    <row r="1" spans="1:10" ht="39.75" customHeight="1" x14ac:dyDescent="0.25">
      <c r="A1" s="54" t="s">
        <v>90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27.75" customHeight="1" x14ac:dyDescent="0.25">
      <c r="A2" s="56" t="s">
        <v>91</v>
      </c>
      <c r="B2" s="44"/>
      <c r="C2" s="44"/>
      <c r="D2" s="44"/>
      <c r="E2" s="44"/>
      <c r="F2" s="44"/>
      <c r="G2" s="44"/>
      <c r="H2" s="44"/>
      <c r="I2" s="44"/>
      <c r="J2" s="44"/>
    </row>
    <row r="3" spans="1:10" ht="24" customHeight="1" x14ac:dyDescent="0.25">
      <c r="A3" s="19" t="s">
        <v>79</v>
      </c>
      <c r="B3" s="19"/>
      <c r="C3" s="19"/>
      <c r="D3" s="19"/>
      <c r="E3" s="20">
        <f>SUM(E5:E204)</f>
        <v>0</v>
      </c>
      <c r="F3" s="21"/>
      <c r="G3" s="20">
        <f>IF(VAT_Return!B16="Flat Rate Scheme",SUMIF(I5:I204,"Capital Goods FRS",G5:G204),SUMIF(I5:I204,"Claimable",G5:G204)+SUMIF(I5:I204,"Capital Goods FRS",G5:G204))</f>
        <v>0</v>
      </c>
      <c r="H3" s="20">
        <f>SUM(H5:H204)</f>
        <v>0</v>
      </c>
      <c r="I3" s="21"/>
      <c r="J3" s="21"/>
    </row>
    <row r="4" spans="1:10" ht="30" customHeight="1" x14ac:dyDescent="0.25">
      <c r="A4" s="4" t="s">
        <v>80</v>
      </c>
      <c r="B4" s="4" t="s">
        <v>92</v>
      </c>
      <c r="C4" s="4" t="s">
        <v>93</v>
      </c>
      <c r="D4" s="4" t="s">
        <v>94</v>
      </c>
      <c r="E4" s="4" t="s">
        <v>84</v>
      </c>
      <c r="F4" s="4" t="s">
        <v>85</v>
      </c>
      <c r="G4" s="4" t="s">
        <v>86</v>
      </c>
      <c r="H4" s="4" t="s">
        <v>87</v>
      </c>
      <c r="I4" s="4" t="s">
        <v>95</v>
      </c>
      <c r="J4" s="4" t="s">
        <v>88</v>
      </c>
    </row>
    <row r="5" spans="1:10" ht="16.5" customHeight="1" x14ac:dyDescent="0.25">
      <c r="A5" s="22">
        <v>1</v>
      </c>
      <c r="B5" s="23"/>
      <c r="C5" s="24"/>
      <c r="D5" s="25"/>
      <c r="E5" s="26"/>
      <c r="F5" s="27">
        <v>0.2</v>
      </c>
      <c r="G5" s="28">
        <f>IF(ISNUMBER(E5),IF(VAT_Return!B16="Flat Rate Scheme",IF(I5="Capital Goods FRS",ROUND(E5*IF(F5=0.2,0.2,IF(F5=0.05,0.05,0)),2),0),IF(I5="Not Claimable (FRS)",0,ROUND(E5*IF(F5=0.2,0.2,IF(F5=0.05,0.05,0)),2))),0)</f>
        <v>0</v>
      </c>
      <c r="H5" s="28">
        <f t="shared" ref="H5:H36" si="0">IF(ISNUMBER(E5),ROUND(E5+G5,2),0)</f>
        <v>0</v>
      </c>
      <c r="I5" s="24" t="str">
        <f>IF(VAT_Return!B16="Flat Rate Scheme","Not Claimable (FRS)","Claimable")</f>
        <v>Claimable</v>
      </c>
      <c r="J5" s="29" t="str">
        <f t="shared" ref="J5:J36" si="1">IF(E5="","",IF(ISNUMBER(E5),IF(E5&gt;0,"✓ OK","⚠ Check Net"),"⚠ Not a number"))</f>
        <v/>
      </c>
    </row>
    <row r="6" spans="1:10" ht="16.5" customHeight="1" x14ac:dyDescent="0.25">
      <c r="A6" s="22">
        <v>2</v>
      </c>
      <c r="B6" s="23"/>
      <c r="C6" s="24"/>
      <c r="D6" s="25"/>
      <c r="E6" s="26"/>
      <c r="F6" s="27">
        <v>0.2</v>
      </c>
      <c r="G6" s="28">
        <f>IF(ISNUMBER(E6),IF(VAT_Return!B16="Flat Rate Scheme",IF(I6="Capital Goods FRS",ROUND(E6*IF(F6=0.2,0.2,IF(F6=0.05,0.05,0)),2),0),IF(I6="Not Claimable (FRS)",0,ROUND(E6*IF(F6=0.2,0.2,IF(F6=0.05,0.05,0)),2))),0)</f>
        <v>0</v>
      </c>
      <c r="H6" s="28">
        <f t="shared" si="0"/>
        <v>0</v>
      </c>
      <c r="I6" s="24" t="str">
        <f>IF(VAT_Return!B16="Flat Rate Scheme","Not Claimable (FRS)","Claimable")</f>
        <v>Claimable</v>
      </c>
      <c r="J6" s="30" t="str">
        <f t="shared" si="1"/>
        <v/>
      </c>
    </row>
    <row r="7" spans="1:10" ht="16.5" customHeight="1" x14ac:dyDescent="0.25">
      <c r="A7" s="22">
        <v>3</v>
      </c>
      <c r="B7" s="23"/>
      <c r="C7" s="24"/>
      <c r="D7" s="25"/>
      <c r="E7" s="26"/>
      <c r="F7" s="27">
        <v>0.2</v>
      </c>
      <c r="G7" s="28">
        <f>IF(ISNUMBER(E7),IF(VAT_Return!B16="Flat Rate Scheme",IF(I7="Capital Goods FRS",ROUND(E7*IF(F7=0.2,0.2,IF(F7=0.05,0.05,0)),2),0),IF(I7="Not Claimable (FRS)",0,ROUND(E7*IF(F7=0.2,0.2,IF(F7=0.05,0.05,0)),2))),0)</f>
        <v>0</v>
      </c>
      <c r="H7" s="28">
        <f t="shared" si="0"/>
        <v>0</v>
      </c>
      <c r="I7" s="24" t="str">
        <f>IF(VAT_Return!B16="Flat Rate Scheme","Not Claimable (FRS)","Claimable")</f>
        <v>Claimable</v>
      </c>
      <c r="J7" s="29" t="str">
        <f t="shared" si="1"/>
        <v/>
      </c>
    </row>
    <row r="8" spans="1:10" ht="16.5" customHeight="1" x14ac:dyDescent="0.25">
      <c r="A8" s="22">
        <v>4</v>
      </c>
      <c r="B8" s="23"/>
      <c r="C8" s="24"/>
      <c r="D8" s="25"/>
      <c r="E8" s="26"/>
      <c r="F8" s="27">
        <v>0.2</v>
      </c>
      <c r="G8" s="28">
        <f>IF(ISNUMBER(E8),IF(VAT_Return!B16="Flat Rate Scheme",IF(I8="Capital Goods FRS",ROUND(E8*IF(F8=0.2,0.2,IF(F8=0.05,0.05,0)),2),0),IF(I8="Not Claimable (FRS)",0,ROUND(E8*IF(F8=0.2,0.2,IF(F8=0.05,0.05,0)),2))),0)</f>
        <v>0</v>
      </c>
      <c r="H8" s="28">
        <f t="shared" si="0"/>
        <v>0</v>
      </c>
      <c r="I8" s="24" t="str">
        <f>IF(VAT_Return!B16="Flat Rate Scheme","Not Claimable (FRS)","Claimable")</f>
        <v>Claimable</v>
      </c>
      <c r="J8" s="30" t="str">
        <f t="shared" si="1"/>
        <v/>
      </c>
    </row>
    <row r="9" spans="1:10" ht="16.5" customHeight="1" x14ac:dyDescent="0.25">
      <c r="A9" s="22">
        <v>5</v>
      </c>
      <c r="B9" s="23"/>
      <c r="C9" s="24"/>
      <c r="D9" s="25"/>
      <c r="E9" s="26"/>
      <c r="F9" s="27">
        <v>0.2</v>
      </c>
      <c r="G9" s="28">
        <f>IF(ISNUMBER(E9),IF(VAT_Return!B16="Flat Rate Scheme",IF(I9="Capital Goods FRS",ROUND(E9*IF(F9=0.2,0.2,IF(F9=0.05,0.05,0)),2),0),IF(I9="Not Claimable (FRS)",0,ROUND(E9*IF(F9=0.2,0.2,IF(F9=0.05,0.05,0)),2))),0)</f>
        <v>0</v>
      </c>
      <c r="H9" s="28">
        <f t="shared" si="0"/>
        <v>0</v>
      </c>
      <c r="I9" s="24" t="str">
        <f>IF(VAT_Return!B16="Flat Rate Scheme","Not Claimable (FRS)","Claimable")</f>
        <v>Claimable</v>
      </c>
      <c r="J9" s="29" t="str">
        <f t="shared" si="1"/>
        <v/>
      </c>
    </row>
    <row r="10" spans="1:10" ht="16.5" customHeight="1" x14ac:dyDescent="0.25">
      <c r="A10" s="22">
        <v>6</v>
      </c>
      <c r="B10" s="23"/>
      <c r="C10" s="24"/>
      <c r="D10" s="25"/>
      <c r="E10" s="26"/>
      <c r="F10" s="27">
        <v>0.2</v>
      </c>
      <c r="G10" s="28">
        <f>IF(ISNUMBER(E10),IF(VAT_Return!B16="Flat Rate Scheme",IF(I10="Capital Goods FRS",ROUND(E10*IF(F10=0.2,0.2,IF(F10=0.05,0.05,0)),2),0),IF(I10="Not Claimable (FRS)",0,ROUND(E10*IF(F10=0.2,0.2,IF(F10=0.05,0.05,0)),2))),0)</f>
        <v>0</v>
      </c>
      <c r="H10" s="28">
        <f t="shared" si="0"/>
        <v>0</v>
      </c>
      <c r="I10" s="24" t="str">
        <f>IF(VAT_Return!B16="Flat Rate Scheme","Not Claimable (FRS)","Claimable")</f>
        <v>Claimable</v>
      </c>
      <c r="J10" s="30" t="str">
        <f t="shared" si="1"/>
        <v/>
      </c>
    </row>
    <row r="11" spans="1:10" ht="16.5" customHeight="1" x14ac:dyDescent="0.25">
      <c r="A11" s="22">
        <v>7</v>
      </c>
      <c r="B11" s="23"/>
      <c r="C11" s="24"/>
      <c r="D11" s="25"/>
      <c r="E11" s="26"/>
      <c r="F11" s="27">
        <v>0.2</v>
      </c>
      <c r="G11" s="28">
        <f>IF(ISNUMBER(E11),IF(VAT_Return!B16="Flat Rate Scheme",IF(I11="Capital Goods FRS",ROUND(E11*IF(F11=0.2,0.2,IF(F11=0.05,0.05,0)),2),0),IF(I11="Not Claimable (FRS)",0,ROUND(E11*IF(F11=0.2,0.2,IF(F11=0.05,0.05,0)),2))),0)</f>
        <v>0</v>
      </c>
      <c r="H11" s="28">
        <f t="shared" si="0"/>
        <v>0</v>
      </c>
      <c r="I11" s="24" t="str">
        <f>IF(VAT_Return!B16="Flat Rate Scheme","Not Claimable (FRS)","Claimable")</f>
        <v>Claimable</v>
      </c>
      <c r="J11" s="29" t="str">
        <f t="shared" si="1"/>
        <v/>
      </c>
    </row>
    <row r="12" spans="1:10" ht="16.5" customHeight="1" x14ac:dyDescent="0.25">
      <c r="A12" s="22">
        <v>8</v>
      </c>
      <c r="B12" s="23"/>
      <c r="C12" s="24"/>
      <c r="D12" s="25"/>
      <c r="E12" s="26"/>
      <c r="F12" s="27">
        <v>0.2</v>
      </c>
      <c r="G12" s="28">
        <f>IF(ISNUMBER(E12),IF(VAT_Return!B16="Flat Rate Scheme",IF(I12="Capital Goods FRS",ROUND(E12*IF(F12=0.2,0.2,IF(F12=0.05,0.05,0)),2),0),IF(I12="Not Claimable (FRS)",0,ROUND(E12*IF(F12=0.2,0.2,IF(F12=0.05,0.05,0)),2))),0)</f>
        <v>0</v>
      </c>
      <c r="H12" s="28">
        <f t="shared" si="0"/>
        <v>0</v>
      </c>
      <c r="I12" s="24" t="str">
        <f>IF(VAT_Return!B16="Flat Rate Scheme","Not Claimable (FRS)","Claimable")</f>
        <v>Claimable</v>
      </c>
      <c r="J12" s="30" t="str">
        <f t="shared" si="1"/>
        <v/>
      </c>
    </row>
    <row r="13" spans="1:10" ht="16.5" customHeight="1" x14ac:dyDescent="0.25">
      <c r="A13" s="22">
        <v>9</v>
      </c>
      <c r="B13" s="23"/>
      <c r="C13" s="24"/>
      <c r="D13" s="25"/>
      <c r="E13" s="26"/>
      <c r="F13" s="27">
        <v>0.2</v>
      </c>
      <c r="G13" s="28">
        <f>IF(ISNUMBER(E13),IF(VAT_Return!B16="Flat Rate Scheme",IF(I13="Capital Goods FRS",ROUND(E13*IF(F13=0.2,0.2,IF(F13=0.05,0.05,0)),2),0),IF(I13="Not Claimable (FRS)",0,ROUND(E13*IF(F13=0.2,0.2,IF(F13=0.05,0.05,0)),2))),0)</f>
        <v>0</v>
      </c>
      <c r="H13" s="28">
        <f t="shared" si="0"/>
        <v>0</v>
      </c>
      <c r="I13" s="24" t="str">
        <f>IF(VAT_Return!B16="Flat Rate Scheme","Not Claimable (FRS)","Claimable")</f>
        <v>Claimable</v>
      </c>
      <c r="J13" s="29" t="str">
        <f t="shared" si="1"/>
        <v/>
      </c>
    </row>
    <row r="14" spans="1:10" ht="16.5" customHeight="1" x14ac:dyDescent="0.25">
      <c r="A14" s="22">
        <v>10</v>
      </c>
      <c r="B14" s="23"/>
      <c r="C14" s="24"/>
      <c r="D14" s="25"/>
      <c r="E14" s="26"/>
      <c r="F14" s="27">
        <v>0.2</v>
      </c>
      <c r="G14" s="28">
        <f>IF(ISNUMBER(E14),IF(VAT_Return!B16="Flat Rate Scheme",IF(I14="Capital Goods FRS",ROUND(E14*IF(F14=0.2,0.2,IF(F14=0.05,0.05,0)),2),0),IF(I14="Not Claimable (FRS)",0,ROUND(E14*IF(F14=0.2,0.2,IF(F14=0.05,0.05,0)),2))),0)</f>
        <v>0</v>
      </c>
      <c r="H14" s="28">
        <f t="shared" si="0"/>
        <v>0</v>
      </c>
      <c r="I14" s="24" t="str">
        <f>IF(VAT_Return!B16="Flat Rate Scheme","Not Claimable (FRS)","Claimable")</f>
        <v>Claimable</v>
      </c>
      <c r="J14" s="30" t="str">
        <f t="shared" si="1"/>
        <v/>
      </c>
    </row>
    <row r="15" spans="1:10" ht="16.5" customHeight="1" x14ac:dyDescent="0.25">
      <c r="A15" s="22">
        <v>11</v>
      </c>
      <c r="B15" s="23"/>
      <c r="C15" s="24"/>
      <c r="D15" s="25"/>
      <c r="E15" s="26"/>
      <c r="F15" s="27">
        <v>0.2</v>
      </c>
      <c r="G15" s="28">
        <f>IF(ISNUMBER(E15),IF(VAT_Return!B16="Flat Rate Scheme",IF(I15="Capital Goods FRS",ROUND(E15*IF(F15=0.2,0.2,IF(F15=0.05,0.05,0)),2),0),IF(I15="Not Claimable (FRS)",0,ROUND(E15*IF(F15=0.2,0.2,IF(F15=0.05,0.05,0)),2))),0)</f>
        <v>0</v>
      </c>
      <c r="H15" s="28">
        <f t="shared" si="0"/>
        <v>0</v>
      </c>
      <c r="I15" s="24" t="str">
        <f>IF(VAT_Return!B16="Flat Rate Scheme","Not Claimable (FRS)","Claimable")</f>
        <v>Claimable</v>
      </c>
      <c r="J15" s="29" t="str">
        <f t="shared" si="1"/>
        <v/>
      </c>
    </row>
    <row r="16" spans="1:10" ht="16.5" customHeight="1" x14ac:dyDescent="0.25">
      <c r="A16" s="22">
        <v>12</v>
      </c>
      <c r="B16" s="23"/>
      <c r="C16" s="24"/>
      <c r="D16" s="25"/>
      <c r="E16" s="26"/>
      <c r="F16" s="27">
        <v>0.2</v>
      </c>
      <c r="G16" s="28">
        <f>IF(ISNUMBER(E16),IF(VAT_Return!B16="Flat Rate Scheme",IF(I16="Capital Goods FRS",ROUND(E16*IF(F16=0.2,0.2,IF(F16=0.05,0.05,0)),2),0),IF(I16="Not Claimable (FRS)",0,ROUND(E16*IF(F16=0.2,0.2,IF(F16=0.05,0.05,0)),2))),0)</f>
        <v>0</v>
      </c>
      <c r="H16" s="28">
        <f t="shared" si="0"/>
        <v>0</v>
      </c>
      <c r="I16" s="24" t="str">
        <f>IF(VAT_Return!B16="Flat Rate Scheme","Not Claimable (FRS)","Claimable")</f>
        <v>Claimable</v>
      </c>
      <c r="J16" s="30" t="str">
        <f t="shared" si="1"/>
        <v/>
      </c>
    </row>
    <row r="17" spans="1:10" ht="16.5" customHeight="1" x14ac:dyDescent="0.25">
      <c r="A17" s="22">
        <v>13</v>
      </c>
      <c r="B17" s="23"/>
      <c r="C17" s="24"/>
      <c r="D17" s="25"/>
      <c r="E17" s="26"/>
      <c r="F17" s="27">
        <v>0.2</v>
      </c>
      <c r="G17" s="28">
        <f>IF(ISNUMBER(E17),IF(VAT_Return!B16="Flat Rate Scheme",IF(I17="Capital Goods FRS",ROUND(E17*IF(F17=0.2,0.2,IF(F17=0.05,0.05,0)),2),0),IF(I17="Not Claimable (FRS)",0,ROUND(E17*IF(F17=0.2,0.2,IF(F17=0.05,0.05,0)),2))),0)</f>
        <v>0</v>
      </c>
      <c r="H17" s="28">
        <f t="shared" si="0"/>
        <v>0</v>
      </c>
      <c r="I17" s="24" t="str">
        <f>IF(VAT_Return!B16="Flat Rate Scheme","Not Claimable (FRS)","Claimable")</f>
        <v>Claimable</v>
      </c>
      <c r="J17" s="29" t="str">
        <f t="shared" si="1"/>
        <v/>
      </c>
    </row>
    <row r="18" spans="1:10" ht="16.5" customHeight="1" x14ac:dyDescent="0.25">
      <c r="A18" s="22">
        <v>14</v>
      </c>
      <c r="B18" s="23"/>
      <c r="C18" s="24"/>
      <c r="D18" s="25"/>
      <c r="E18" s="26"/>
      <c r="F18" s="27">
        <v>0.2</v>
      </c>
      <c r="G18" s="28">
        <f>IF(ISNUMBER(E18),IF(VAT_Return!B16="Flat Rate Scheme",IF(I18="Capital Goods FRS",ROUND(E18*IF(F18=0.2,0.2,IF(F18=0.05,0.05,0)),2),0),IF(I18="Not Claimable (FRS)",0,ROUND(E18*IF(F18=0.2,0.2,IF(F18=0.05,0.05,0)),2))),0)</f>
        <v>0</v>
      </c>
      <c r="H18" s="28">
        <f t="shared" si="0"/>
        <v>0</v>
      </c>
      <c r="I18" s="24" t="str">
        <f>IF(VAT_Return!B16="Flat Rate Scheme","Not Claimable (FRS)","Claimable")</f>
        <v>Claimable</v>
      </c>
      <c r="J18" s="30" t="str">
        <f t="shared" si="1"/>
        <v/>
      </c>
    </row>
    <row r="19" spans="1:10" ht="16.5" customHeight="1" x14ac:dyDescent="0.25">
      <c r="A19" s="22">
        <v>15</v>
      </c>
      <c r="B19" s="23"/>
      <c r="C19" s="24"/>
      <c r="D19" s="25"/>
      <c r="E19" s="26"/>
      <c r="F19" s="27">
        <v>0.2</v>
      </c>
      <c r="G19" s="28">
        <f>IF(ISNUMBER(E19),IF(VAT_Return!B16="Flat Rate Scheme",IF(I19="Capital Goods FRS",ROUND(E19*IF(F19=0.2,0.2,IF(F19=0.05,0.05,0)),2),0),IF(I19="Not Claimable (FRS)",0,ROUND(E19*IF(F19=0.2,0.2,IF(F19=0.05,0.05,0)),2))),0)</f>
        <v>0</v>
      </c>
      <c r="H19" s="28">
        <f t="shared" si="0"/>
        <v>0</v>
      </c>
      <c r="I19" s="24" t="str">
        <f>IF(VAT_Return!B16="Flat Rate Scheme","Not Claimable (FRS)","Claimable")</f>
        <v>Claimable</v>
      </c>
      <c r="J19" s="29" t="str">
        <f t="shared" si="1"/>
        <v/>
      </c>
    </row>
    <row r="20" spans="1:10" ht="16.5" customHeight="1" x14ac:dyDescent="0.25">
      <c r="A20" s="22">
        <v>16</v>
      </c>
      <c r="B20" s="23"/>
      <c r="C20" s="24"/>
      <c r="D20" s="25"/>
      <c r="E20" s="26"/>
      <c r="F20" s="27">
        <v>0.2</v>
      </c>
      <c r="G20" s="28">
        <f>IF(ISNUMBER(E20),IF(VAT_Return!B16="Flat Rate Scheme",IF(I20="Capital Goods FRS",ROUND(E20*IF(F20=0.2,0.2,IF(F20=0.05,0.05,0)),2),0),IF(I20="Not Claimable (FRS)",0,ROUND(E20*IF(F20=0.2,0.2,IF(F20=0.05,0.05,0)),2))),0)</f>
        <v>0</v>
      </c>
      <c r="H20" s="28">
        <f t="shared" si="0"/>
        <v>0</v>
      </c>
      <c r="I20" s="24" t="str">
        <f>IF(VAT_Return!B16="Flat Rate Scheme","Not Claimable (FRS)","Claimable")</f>
        <v>Claimable</v>
      </c>
      <c r="J20" s="30" t="str">
        <f t="shared" si="1"/>
        <v/>
      </c>
    </row>
    <row r="21" spans="1:10" ht="16.5" customHeight="1" x14ac:dyDescent="0.25">
      <c r="A21" s="22">
        <v>17</v>
      </c>
      <c r="B21" s="23"/>
      <c r="C21" s="24"/>
      <c r="D21" s="25"/>
      <c r="E21" s="26"/>
      <c r="F21" s="27">
        <v>0.2</v>
      </c>
      <c r="G21" s="28">
        <f>IF(ISNUMBER(E21),IF(VAT_Return!B16="Flat Rate Scheme",IF(I21="Capital Goods FRS",ROUND(E21*IF(F21=0.2,0.2,IF(F21=0.05,0.05,0)),2),0),IF(I21="Not Claimable (FRS)",0,ROUND(E21*IF(F21=0.2,0.2,IF(F21=0.05,0.05,0)),2))),0)</f>
        <v>0</v>
      </c>
      <c r="H21" s="28">
        <f t="shared" si="0"/>
        <v>0</v>
      </c>
      <c r="I21" s="24" t="str">
        <f>IF(VAT_Return!B16="Flat Rate Scheme","Not Claimable (FRS)","Claimable")</f>
        <v>Claimable</v>
      </c>
      <c r="J21" s="29" t="str">
        <f t="shared" si="1"/>
        <v/>
      </c>
    </row>
    <row r="22" spans="1:10" ht="16.5" customHeight="1" x14ac:dyDescent="0.25">
      <c r="A22" s="22">
        <v>18</v>
      </c>
      <c r="B22" s="23"/>
      <c r="C22" s="24"/>
      <c r="D22" s="25"/>
      <c r="E22" s="26"/>
      <c r="F22" s="27">
        <v>0.2</v>
      </c>
      <c r="G22" s="28">
        <f>IF(ISNUMBER(E22),IF(VAT_Return!B16="Flat Rate Scheme",IF(I22="Capital Goods FRS",ROUND(E22*IF(F22=0.2,0.2,IF(F22=0.05,0.05,0)),2),0),IF(I22="Not Claimable (FRS)",0,ROUND(E22*IF(F22=0.2,0.2,IF(F22=0.05,0.05,0)),2))),0)</f>
        <v>0</v>
      </c>
      <c r="H22" s="28">
        <f t="shared" si="0"/>
        <v>0</v>
      </c>
      <c r="I22" s="24" t="str">
        <f>IF(VAT_Return!B16="Flat Rate Scheme","Not Claimable (FRS)","Claimable")</f>
        <v>Claimable</v>
      </c>
      <c r="J22" s="30" t="str">
        <f t="shared" si="1"/>
        <v/>
      </c>
    </row>
    <row r="23" spans="1:10" ht="16.5" customHeight="1" x14ac:dyDescent="0.25">
      <c r="A23" s="22">
        <v>19</v>
      </c>
      <c r="B23" s="23"/>
      <c r="C23" s="24"/>
      <c r="D23" s="25"/>
      <c r="E23" s="26"/>
      <c r="F23" s="27">
        <v>0.2</v>
      </c>
      <c r="G23" s="28">
        <f>IF(ISNUMBER(E23),IF(VAT_Return!B16="Flat Rate Scheme",IF(I23="Capital Goods FRS",ROUND(E23*IF(F23=0.2,0.2,IF(F23=0.05,0.05,0)),2),0),IF(I23="Not Claimable (FRS)",0,ROUND(E23*IF(F23=0.2,0.2,IF(F23=0.05,0.05,0)),2))),0)</f>
        <v>0</v>
      </c>
      <c r="H23" s="28">
        <f t="shared" si="0"/>
        <v>0</v>
      </c>
      <c r="I23" s="24" t="str">
        <f>IF(VAT_Return!B16="Flat Rate Scheme","Not Claimable (FRS)","Claimable")</f>
        <v>Claimable</v>
      </c>
      <c r="J23" s="29" t="str">
        <f t="shared" si="1"/>
        <v/>
      </c>
    </row>
    <row r="24" spans="1:10" ht="16.5" customHeight="1" x14ac:dyDescent="0.25">
      <c r="A24" s="22">
        <v>20</v>
      </c>
      <c r="B24" s="23"/>
      <c r="C24" s="24"/>
      <c r="D24" s="25"/>
      <c r="E24" s="26"/>
      <c r="F24" s="27">
        <v>0.2</v>
      </c>
      <c r="G24" s="28">
        <f>IF(ISNUMBER(E24),IF(VAT_Return!B16="Flat Rate Scheme",IF(I24="Capital Goods FRS",ROUND(E24*IF(F24=0.2,0.2,IF(F24=0.05,0.05,0)),2),0),IF(I24="Not Claimable (FRS)",0,ROUND(E24*IF(F24=0.2,0.2,IF(F24=0.05,0.05,0)),2))),0)</f>
        <v>0</v>
      </c>
      <c r="H24" s="28">
        <f t="shared" si="0"/>
        <v>0</v>
      </c>
      <c r="I24" s="24" t="str">
        <f>IF(VAT_Return!B16="Flat Rate Scheme","Not Claimable (FRS)","Claimable")</f>
        <v>Claimable</v>
      </c>
      <c r="J24" s="30" t="str">
        <f t="shared" si="1"/>
        <v/>
      </c>
    </row>
    <row r="25" spans="1:10" ht="16.5" customHeight="1" x14ac:dyDescent="0.25">
      <c r="A25" s="22">
        <v>21</v>
      </c>
      <c r="B25" s="23"/>
      <c r="C25" s="24"/>
      <c r="D25" s="25"/>
      <c r="E25" s="26"/>
      <c r="F25" s="27">
        <v>0.2</v>
      </c>
      <c r="G25" s="28">
        <f>IF(ISNUMBER(E25),IF(VAT_Return!B16="Flat Rate Scheme",IF(I25="Capital Goods FRS",ROUND(E25*IF(F25=0.2,0.2,IF(F25=0.05,0.05,0)),2),0),IF(I25="Not Claimable (FRS)",0,ROUND(E25*IF(F25=0.2,0.2,IF(F25=0.05,0.05,0)),2))),0)</f>
        <v>0</v>
      </c>
      <c r="H25" s="28">
        <f t="shared" si="0"/>
        <v>0</v>
      </c>
      <c r="I25" s="24" t="str">
        <f>IF(VAT_Return!B16="Flat Rate Scheme","Not Claimable (FRS)","Claimable")</f>
        <v>Claimable</v>
      </c>
      <c r="J25" s="29" t="str">
        <f t="shared" si="1"/>
        <v/>
      </c>
    </row>
    <row r="26" spans="1:10" ht="16.5" customHeight="1" x14ac:dyDescent="0.25">
      <c r="A26" s="22">
        <v>22</v>
      </c>
      <c r="B26" s="23"/>
      <c r="C26" s="24"/>
      <c r="D26" s="25"/>
      <c r="E26" s="26"/>
      <c r="F26" s="27">
        <v>0.2</v>
      </c>
      <c r="G26" s="28">
        <f>IF(ISNUMBER(E26),IF(VAT_Return!B16="Flat Rate Scheme",IF(I26="Capital Goods FRS",ROUND(E26*IF(F26=0.2,0.2,IF(F26=0.05,0.05,0)),2),0),IF(I26="Not Claimable (FRS)",0,ROUND(E26*IF(F26=0.2,0.2,IF(F26=0.05,0.05,0)),2))),0)</f>
        <v>0</v>
      </c>
      <c r="H26" s="28">
        <f t="shared" si="0"/>
        <v>0</v>
      </c>
      <c r="I26" s="24" t="str">
        <f>IF(VAT_Return!B16="Flat Rate Scheme","Not Claimable (FRS)","Claimable")</f>
        <v>Claimable</v>
      </c>
      <c r="J26" s="30" t="str">
        <f t="shared" si="1"/>
        <v/>
      </c>
    </row>
    <row r="27" spans="1:10" ht="16.5" customHeight="1" x14ac:dyDescent="0.25">
      <c r="A27" s="22">
        <v>23</v>
      </c>
      <c r="B27" s="23"/>
      <c r="C27" s="24"/>
      <c r="D27" s="25"/>
      <c r="E27" s="26"/>
      <c r="F27" s="27">
        <v>0.2</v>
      </c>
      <c r="G27" s="28">
        <f>IF(ISNUMBER(E27),IF(VAT_Return!B16="Flat Rate Scheme",IF(I27="Capital Goods FRS",ROUND(E27*IF(F27=0.2,0.2,IF(F27=0.05,0.05,0)),2),0),IF(I27="Not Claimable (FRS)",0,ROUND(E27*IF(F27=0.2,0.2,IF(F27=0.05,0.05,0)),2))),0)</f>
        <v>0</v>
      </c>
      <c r="H27" s="28">
        <f t="shared" si="0"/>
        <v>0</v>
      </c>
      <c r="I27" s="24" t="str">
        <f>IF(VAT_Return!B16="Flat Rate Scheme","Not Claimable (FRS)","Claimable")</f>
        <v>Claimable</v>
      </c>
      <c r="J27" s="29" t="str">
        <f t="shared" si="1"/>
        <v/>
      </c>
    </row>
    <row r="28" spans="1:10" ht="16.5" customHeight="1" x14ac:dyDescent="0.25">
      <c r="A28" s="22">
        <v>24</v>
      </c>
      <c r="B28" s="23"/>
      <c r="C28" s="24"/>
      <c r="D28" s="25"/>
      <c r="E28" s="26"/>
      <c r="F28" s="27">
        <v>0.2</v>
      </c>
      <c r="G28" s="28">
        <f>IF(ISNUMBER(E28),IF(VAT_Return!B16="Flat Rate Scheme",IF(I28="Capital Goods FRS",ROUND(E28*IF(F28=0.2,0.2,IF(F28=0.05,0.05,0)),2),0),IF(I28="Not Claimable (FRS)",0,ROUND(E28*IF(F28=0.2,0.2,IF(F28=0.05,0.05,0)),2))),0)</f>
        <v>0</v>
      </c>
      <c r="H28" s="28">
        <f t="shared" si="0"/>
        <v>0</v>
      </c>
      <c r="I28" s="24" t="str">
        <f>IF(VAT_Return!B16="Flat Rate Scheme","Not Claimable (FRS)","Claimable")</f>
        <v>Claimable</v>
      </c>
      <c r="J28" s="30" t="str">
        <f t="shared" si="1"/>
        <v/>
      </c>
    </row>
    <row r="29" spans="1:10" ht="16.5" customHeight="1" x14ac:dyDescent="0.25">
      <c r="A29" s="22">
        <v>25</v>
      </c>
      <c r="B29" s="23"/>
      <c r="C29" s="24"/>
      <c r="D29" s="25"/>
      <c r="E29" s="26"/>
      <c r="F29" s="27">
        <v>0.2</v>
      </c>
      <c r="G29" s="28">
        <f>IF(ISNUMBER(E29),IF(VAT_Return!B16="Flat Rate Scheme",IF(I29="Capital Goods FRS",ROUND(E29*IF(F29=0.2,0.2,IF(F29=0.05,0.05,0)),2),0),IF(I29="Not Claimable (FRS)",0,ROUND(E29*IF(F29=0.2,0.2,IF(F29=0.05,0.05,0)),2))),0)</f>
        <v>0</v>
      </c>
      <c r="H29" s="28">
        <f t="shared" si="0"/>
        <v>0</v>
      </c>
      <c r="I29" s="24" t="str">
        <f>IF(VAT_Return!B16="Flat Rate Scheme","Not Claimable (FRS)","Claimable")</f>
        <v>Claimable</v>
      </c>
      <c r="J29" s="29" t="str">
        <f t="shared" si="1"/>
        <v/>
      </c>
    </row>
    <row r="30" spans="1:10" ht="16.5" customHeight="1" x14ac:dyDescent="0.25">
      <c r="A30" s="22">
        <v>26</v>
      </c>
      <c r="B30" s="23"/>
      <c r="C30" s="24"/>
      <c r="D30" s="25"/>
      <c r="E30" s="26"/>
      <c r="F30" s="27">
        <v>0.2</v>
      </c>
      <c r="G30" s="28">
        <f>IF(ISNUMBER(E30),IF(VAT_Return!B16="Flat Rate Scheme",IF(I30="Capital Goods FRS",ROUND(E30*IF(F30=0.2,0.2,IF(F30=0.05,0.05,0)),2),0),IF(I30="Not Claimable (FRS)",0,ROUND(E30*IF(F30=0.2,0.2,IF(F30=0.05,0.05,0)),2))),0)</f>
        <v>0</v>
      </c>
      <c r="H30" s="28">
        <f t="shared" si="0"/>
        <v>0</v>
      </c>
      <c r="I30" s="24" t="str">
        <f>IF(VAT_Return!B16="Flat Rate Scheme","Not Claimable (FRS)","Claimable")</f>
        <v>Claimable</v>
      </c>
      <c r="J30" s="30" t="str">
        <f t="shared" si="1"/>
        <v/>
      </c>
    </row>
    <row r="31" spans="1:10" ht="16.5" customHeight="1" x14ac:dyDescent="0.25">
      <c r="A31" s="22">
        <v>27</v>
      </c>
      <c r="B31" s="23"/>
      <c r="C31" s="24"/>
      <c r="D31" s="25"/>
      <c r="E31" s="26"/>
      <c r="F31" s="27">
        <v>0.2</v>
      </c>
      <c r="G31" s="28">
        <f>IF(ISNUMBER(E31),IF(VAT_Return!B16="Flat Rate Scheme",IF(I31="Capital Goods FRS",ROUND(E31*IF(F31=0.2,0.2,IF(F31=0.05,0.05,0)),2),0),IF(I31="Not Claimable (FRS)",0,ROUND(E31*IF(F31=0.2,0.2,IF(F31=0.05,0.05,0)),2))),0)</f>
        <v>0</v>
      </c>
      <c r="H31" s="28">
        <f t="shared" si="0"/>
        <v>0</v>
      </c>
      <c r="I31" s="24" t="str">
        <f>IF(VAT_Return!B16="Flat Rate Scheme","Not Claimable (FRS)","Claimable")</f>
        <v>Claimable</v>
      </c>
      <c r="J31" s="29" t="str">
        <f t="shared" si="1"/>
        <v/>
      </c>
    </row>
    <row r="32" spans="1:10" ht="16.5" customHeight="1" x14ac:dyDescent="0.25">
      <c r="A32" s="22">
        <v>28</v>
      </c>
      <c r="B32" s="23"/>
      <c r="C32" s="24"/>
      <c r="D32" s="25"/>
      <c r="E32" s="26"/>
      <c r="F32" s="27">
        <v>0.2</v>
      </c>
      <c r="G32" s="28">
        <f>IF(ISNUMBER(E32),IF(VAT_Return!B16="Flat Rate Scheme",IF(I32="Capital Goods FRS",ROUND(E32*IF(F32=0.2,0.2,IF(F32=0.05,0.05,0)),2),0),IF(I32="Not Claimable (FRS)",0,ROUND(E32*IF(F32=0.2,0.2,IF(F32=0.05,0.05,0)),2))),0)</f>
        <v>0</v>
      </c>
      <c r="H32" s="28">
        <f t="shared" si="0"/>
        <v>0</v>
      </c>
      <c r="I32" s="24" t="str">
        <f>IF(VAT_Return!B16="Flat Rate Scheme","Not Claimable (FRS)","Claimable")</f>
        <v>Claimable</v>
      </c>
      <c r="J32" s="30" t="str">
        <f t="shared" si="1"/>
        <v/>
      </c>
    </row>
    <row r="33" spans="1:10" ht="16.5" customHeight="1" x14ac:dyDescent="0.25">
      <c r="A33" s="22">
        <v>29</v>
      </c>
      <c r="B33" s="23"/>
      <c r="C33" s="24"/>
      <c r="D33" s="25"/>
      <c r="E33" s="26"/>
      <c r="F33" s="27">
        <v>0.2</v>
      </c>
      <c r="G33" s="28">
        <f>IF(ISNUMBER(E33),IF(VAT_Return!B16="Flat Rate Scheme",IF(I33="Capital Goods FRS",ROUND(E33*IF(F33=0.2,0.2,IF(F33=0.05,0.05,0)),2),0),IF(I33="Not Claimable (FRS)",0,ROUND(E33*IF(F33=0.2,0.2,IF(F33=0.05,0.05,0)),2))),0)</f>
        <v>0</v>
      </c>
      <c r="H33" s="28">
        <f t="shared" si="0"/>
        <v>0</v>
      </c>
      <c r="I33" s="24" t="str">
        <f>IF(VAT_Return!B16="Flat Rate Scheme","Not Claimable (FRS)","Claimable")</f>
        <v>Claimable</v>
      </c>
      <c r="J33" s="29" t="str">
        <f t="shared" si="1"/>
        <v/>
      </c>
    </row>
    <row r="34" spans="1:10" ht="16.5" customHeight="1" x14ac:dyDescent="0.25">
      <c r="A34" s="22">
        <v>30</v>
      </c>
      <c r="B34" s="23"/>
      <c r="C34" s="24"/>
      <c r="D34" s="25"/>
      <c r="E34" s="26"/>
      <c r="F34" s="27">
        <v>0.2</v>
      </c>
      <c r="G34" s="28">
        <f>IF(ISNUMBER(E34),IF(VAT_Return!B16="Flat Rate Scheme",IF(I34="Capital Goods FRS",ROUND(E34*IF(F34=0.2,0.2,IF(F34=0.05,0.05,0)),2),0),IF(I34="Not Claimable (FRS)",0,ROUND(E34*IF(F34=0.2,0.2,IF(F34=0.05,0.05,0)),2))),0)</f>
        <v>0</v>
      </c>
      <c r="H34" s="28">
        <f t="shared" si="0"/>
        <v>0</v>
      </c>
      <c r="I34" s="24" t="str">
        <f>IF(VAT_Return!B16="Flat Rate Scheme","Not Claimable (FRS)","Claimable")</f>
        <v>Claimable</v>
      </c>
      <c r="J34" s="30" t="str">
        <f t="shared" si="1"/>
        <v/>
      </c>
    </row>
    <row r="35" spans="1:10" ht="16.5" customHeight="1" x14ac:dyDescent="0.25">
      <c r="A35" s="22">
        <v>31</v>
      </c>
      <c r="B35" s="23"/>
      <c r="C35" s="24"/>
      <c r="D35" s="25"/>
      <c r="E35" s="26"/>
      <c r="F35" s="27">
        <v>0.2</v>
      </c>
      <c r="G35" s="28">
        <f>IF(ISNUMBER(E35),IF(VAT_Return!B16="Flat Rate Scheme",IF(I35="Capital Goods FRS",ROUND(E35*IF(F35=0.2,0.2,IF(F35=0.05,0.05,0)),2),0),IF(I35="Not Claimable (FRS)",0,ROUND(E35*IF(F35=0.2,0.2,IF(F35=0.05,0.05,0)),2))),0)</f>
        <v>0</v>
      </c>
      <c r="H35" s="28">
        <f t="shared" si="0"/>
        <v>0</v>
      </c>
      <c r="I35" s="24" t="str">
        <f>IF(VAT_Return!B16="Flat Rate Scheme","Not Claimable (FRS)","Claimable")</f>
        <v>Claimable</v>
      </c>
      <c r="J35" s="29" t="str">
        <f t="shared" si="1"/>
        <v/>
      </c>
    </row>
    <row r="36" spans="1:10" ht="16.5" customHeight="1" x14ac:dyDescent="0.25">
      <c r="A36" s="22">
        <v>32</v>
      </c>
      <c r="B36" s="23"/>
      <c r="C36" s="24"/>
      <c r="D36" s="25"/>
      <c r="E36" s="26"/>
      <c r="F36" s="27">
        <v>0.2</v>
      </c>
      <c r="G36" s="28">
        <f>IF(ISNUMBER(E36),IF(VAT_Return!B16="Flat Rate Scheme",IF(I36="Capital Goods FRS",ROUND(E36*IF(F36=0.2,0.2,IF(F36=0.05,0.05,0)),2),0),IF(I36="Not Claimable (FRS)",0,ROUND(E36*IF(F36=0.2,0.2,IF(F36=0.05,0.05,0)),2))),0)</f>
        <v>0</v>
      </c>
      <c r="H36" s="28">
        <f t="shared" si="0"/>
        <v>0</v>
      </c>
      <c r="I36" s="24" t="str">
        <f>IF(VAT_Return!B16="Flat Rate Scheme","Not Claimable (FRS)","Claimable")</f>
        <v>Claimable</v>
      </c>
      <c r="J36" s="30" t="str">
        <f t="shared" si="1"/>
        <v/>
      </c>
    </row>
    <row r="37" spans="1:10" ht="16.5" customHeight="1" x14ac:dyDescent="0.25">
      <c r="A37" s="22">
        <v>33</v>
      </c>
      <c r="B37" s="23"/>
      <c r="C37" s="24"/>
      <c r="D37" s="25"/>
      <c r="E37" s="26"/>
      <c r="F37" s="27">
        <v>0.2</v>
      </c>
      <c r="G37" s="28">
        <f>IF(ISNUMBER(E37),IF(VAT_Return!B16="Flat Rate Scheme",IF(I37="Capital Goods FRS",ROUND(E37*IF(F37=0.2,0.2,IF(F37=0.05,0.05,0)),2),0),IF(I37="Not Claimable (FRS)",0,ROUND(E37*IF(F37=0.2,0.2,IF(F37=0.05,0.05,0)),2))),0)</f>
        <v>0</v>
      </c>
      <c r="H37" s="28">
        <f t="shared" ref="H37:H68" si="2">IF(ISNUMBER(E37),ROUND(E37+G37,2),0)</f>
        <v>0</v>
      </c>
      <c r="I37" s="24" t="str">
        <f>IF(VAT_Return!B16="Flat Rate Scheme","Not Claimable (FRS)","Claimable")</f>
        <v>Claimable</v>
      </c>
      <c r="J37" s="29" t="str">
        <f t="shared" ref="J37:J68" si="3">IF(E37="","",IF(ISNUMBER(E37),IF(E37&gt;0,"✓ OK","⚠ Check Net"),"⚠ Not a number"))</f>
        <v/>
      </c>
    </row>
    <row r="38" spans="1:10" ht="16.5" customHeight="1" x14ac:dyDescent="0.25">
      <c r="A38" s="22">
        <v>34</v>
      </c>
      <c r="B38" s="23"/>
      <c r="C38" s="24"/>
      <c r="D38" s="25"/>
      <c r="E38" s="26"/>
      <c r="F38" s="27">
        <v>0.2</v>
      </c>
      <c r="G38" s="28">
        <f>IF(ISNUMBER(E38),IF(VAT_Return!B16="Flat Rate Scheme",IF(I38="Capital Goods FRS",ROUND(E38*IF(F38=0.2,0.2,IF(F38=0.05,0.05,0)),2),0),IF(I38="Not Claimable (FRS)",0,ROUND(E38*IF(F38=0.2,0.2,IF(F38=0.05,0.05,0)),2))),0)</f>
        <v>0</v>
      </c>
      <c r="H38" s="28">
        <f t="shared" si="2"/>
        <v>0</v>
      </c>
      <c r="I38" s="24" t="str">
        <f>IF(VAT_Return!B16="Flat Rate Scheme","Not Claimable (FRS)","Claimable")</f>
        <v>Claimable</v>
      </c>
      <c r="J38" s="30" t="str">
        <f t="shared" si="3"/>
        <v/>
      </c>
    </row>
    <row r="39" spans="1:10" ht="16.5" customHeight="1" x14ac:dyDescent="0.25">
      <c r="A39" s="22">
        <v>35</v>
      </c>
      <c r="B39" s="23"/>
      <c r="C39" s="24"/>
      <c r="D39" s="25"/>
      <c r="E39" s="26"/>
      <c r="F39" s="27">
        <v>0.2</v>
      </c>
      <c r="G39" s="28">
        <f>IF(ISNUMBER(E39),IF(VAT_Return!B16="Flat Rate Scheme",IF(I39="Capital Goods FRS",ROUND(E39*IF(F39=0.2,0.2,IF(F39=0.05,0.05,0)),2),0),IF(I39="Not Claimable (FRS)",0,ROUND(E39*IF(F39=0.2,0.2,IF(F39=0.05,0.05,0)),2))),0)</f>
        <v>0</v>
      </c>
      <c r="H39" s="28">
        <f t="shared" si="2"/>
        <v>0</v>
      </c>
      <c r="I39" s="24" t="str">
        <f>IF(VAT_Return!B16="Flat Rate Scheme","Not Claimable (FRS)","Claimable")</f>
        <v>Claimable</v>
      </c>
      <c r="J39" s="29" t="str">
        <f t="shared" si="3"/>
        <v/>
      </c>
    </row>
    <row r="40" spans="1:10" ht="16.5" customHeight="1" x14ac:dyDescent="0.25">
      <c r="A40" s="22">
        <v>36</v>
      </c>
      <c r="B40" s="23"/>
      <c r="C40" s="24"/>
      <c r="D40" s="25"/>
      <c r="E40" s="26"/>
      <c r="F40" s="27">
        <v>0.2</v>
      </c>
      <c r="G40" s="28">
        <f>IF(ISNUMBER(E40),IF(VAT_Return!B16="Flat Rate Scheme",IF(I40="Capital Goods FRS",ROUND(E40*IF(F40=0.2,0.2,IF(F40=0.05,0.05,0)),2),0),IF(I40="Not Claimable (FRS)",0,ROUND(E40*IF(F40=0.2,0.2,IF(F40=0.05,0.05,0)),2))),0)</f>
        <v>0</v>
      </c>
      <c r="H40" s="28">
        <f t="shared" si="2"/>
        <v>0</v>
      </c>
      <c r="I40" s="24" t="str">
        <f>IF(VAT_Return!B16="Flat Rate Scheme","Not Claimable (FRS)","Claimable")</f>
        <v>Claimable</v>
      </c>
      <c r="J40" s="30" t="str">
        <f t="shared" si="3"/>
        <v/>
      </c>
    </row>
    <row r="41" spans="1:10" ht="16.5" customHeight="1" x14ac:dyDescent="0.25">
      <c r="A41" s="22">
        <v>37</v>
      </c>
      <c r="B41" s="23"/>
      <c r="C41" s="24"/>
      <c r="D41" s="25"/>
      <c r="E41" s="26"/>
      <c r="F41" s="27">
        <v>0.2</v>
      </c>
      <c r="G41" s="28">
        <f>IF(ISNUMBER(E41),IF(VAT_Return!B16="Flat Rate Scheme",IF(I41="Capital Goods FRS",ROUND(E41*IF(F41=0.2,0.2,IF(F41=0.05,0.05,0)),2),0),IF(I41="Not Claimable (FRS)",0,ROUND(E41*IF(F41=0.2,0.2,IF(F41=0.05,0.05,0)),2))),0)</f>
        <v>0</v>
      </c>
      <c r="H41" s="28">
        <f t="shared" si="2"/>
        <v>0</v>
      </c>
      <c r="I41" s="24" t="str">
        <f>IF(VAT_Return!B16="Flat Rate Scheme","Not Claimable (FRS)","Claimable")</f>
        <v>Claimable</v>
      </c>
      <c r="J41" s="29" t="str">
        <f t="shared" si="3"/>
        <v/>
      </c>
    </row>
    <row r="42" spans="1:10" ht="16.5" customHeight="1" x14ac:dyDescent="0.25">
      <c r="A42" s="22">
        <v>38</v>
      </c>
      <c r="B42" s="23"/>
      <c r="C42" s="24"/>
      <c r="D42" s="25"/>
      <c r="E42" s="26"/>
      <c r="F42" s="27">
        <v>0.2</v>
      </c>
      <c r="G42" s="28">
        <f>IF(ISNUMBER(E42),IF(VAT_Return!B16="Flat Rate Scheme",IF(I42="Capital Goods FRS",ROUND(E42*IF(F42=0.2,0.2,IF(F42=0.05,0.05,0)),2),0),IF(I42="Not Claimable (FRS)",0,ROUND(E42*IF(F42=0.2,0.2,IF(F42=0.05,0.05,0)),2))),0)</f>
        <v>0</v>
      </c>
      <c r="H42" s="28">
        <f t="shared" si="2"/>
        <v>0</v>
      </c>
      <c r="I42" s="24" t="str">
        <f>IF(VAT_Return!B16="Flat Rate Scheme","Not Claimable (FRS)","Claimable")</f>
        <v>Claimable</v>
      </c>
      <c r="J42" s="30" t="str">
        <f t="shared" si="3"/>
        <v/>
      </c>
    </row>
    <row r="43" spans="1:10" ht="16.5" customHeight="1" x14ac:dyDescent="0.25">
      <c r="A43" s="22">
        <v>39</v>
      </c>
      <c r="B43" s="23"/>
      <c r="C43" s="24"/>
      <c r="D43" s="25"/>
      <c r="E43" s="26"/>
      <c r="F43" s="27">
        <v>0.2</v>
      </c>
      <c r="G43" s="28">
        <f>IF(ISNUMBER(E43),IF(VAT_Return!B16="Flat Rate Scheme",IF(I43="Capital Goods FRS",ROUND(E43*IF(F43=0.2,0.2,IF(F43=0.05,0.05,0)),2),0),IF(I43="Not Claimable (FRS)",0,ROUND(E43*IF(F43=0.2,0.2,IF(F43=0.05,0.05,0)),2))),0)</f>
        <v>0</v>
      </c>
      <c r="H43" s="28">
        <f t="shared" si="2"/>
        <v>0</v>
      </c>
      <c r="I43" s="24" t="str">
        <f>IF(VAT_Return!B16="Flat Rate Scheme","Not Claimable (FRS)","Claimable")</f>
        <v>Claimable</v>
      </c>
      <c r="J43" s="29" t="str">
        <f t="shared" si="3"/>
        <v/>
      </c>
    </row>
    <row r="44" spans="1:10" ht="16.5" customHeight="1" x14ac:dyDescent="0.25">
      <c r="A44" s="22">
        <v>40</v>
      </c>
      <c r="B44" s="23"/>
      <c r="C44" s="24"/>
      <c r="D44" s="25"/>
      <c r="E44" s="26"/>
      <c r="F44" s="27">
        <v>0.2</v>
      </c>
      <c r="G44" s="28">
        <f>IF(ISNUMBER(E44),IF(VAT_Return!B16="Flat Rate Scheme",IF(I44="Capital Goods FRS",ROUND(E44*IF(F44=0.2,0.2,IF(F44=0.05,0.05,0)),2),0),IF(I44="Not Claimable (FRS)",0,ROUND(E44*IF(F44=0.2,0.2,IF(F44=0.05,0.05,0)),2))),0)</f>
        <v>0</v>
      </c>
      <c r="H44" s="28">
        <f t="shared" si="2"/>
        <v>0</v>
      </c>
      <c r="I44" s="24" t="str">
        <f>IF(VAT_Return!B16="Flat Rate Scheme","Not Claimable (FRS)","Claimable")</f>
        <v>Claimable</v>
      </c>
      <c r="J44" s="30" t="str">
        <f t="shared" si="3"/>
        <v/>
      </c>
    </row>
    <row r="45" spans="1:10" ht="16.5" customHeight="1" x14ac:dyDescent="0.25">
      <c r="A45" s="22">
        <v>41</v>
      </c>
      <c r="B45" s="23"/>
      <c r="C45" s="24"/>
      <c r="D45" s="25"/>
      <c r="E45" s="26"/>
      <c r="F45" s="27">
        <v>0.2</v>
      </c>
      <c r="G45" s="28">
        <f>IF(ISNUMBER(E45),IF(VAT_Return!B16="Flat Rate Scheme",IF(I45="Capital Goods FRS",ROUND(E45*IF(F45=0.2,0.2,IF(F45=0.05,0.05,0)),2),0),IF(I45="Not Claimable (FRS)",0,ROUND(E45*IF(F45=0.2,0.2,IF(F45=0.05,0.05,0)),2))),0)</f>
        <v>0</v>
      </c>
      <c r="H45" s="28">
        <f t="shared" si="2"/>
        <v>0</v>
      </c>
      <c r="I45" s="24" t="str">
        <f>IF(VAT_Return!B16="Flat Rate Scheme","Not Claimable (FRS)","Claimable")</f>
        <v>Claimable</v>
      </c>
      <c r="J45" s="29" t="str">
        <f t="shared" si="3"/>
        <v/>
      </c>
    </row>
    <row r="46" spans="1:10" ht="16.5" customHeight="1" x14ac:dyDescent="0.25">
      <c r="A46" s="22">
        <v>42</v>
      </c>
      <c r="B46" s="23"/>
      <c r="C46" s="24"/>
      <c r="D46" s="25"/>
      <c r="E46" s="26"/>
      <c r="F46" s="27">
        <v>0.2</v>
      </c>
      <c r="G46" s="28">
        <f>IF(ISNUMBER(E46),IF(VAT_Return!B16="Flat Rate Scheme",IF(I46="Capital Goods FRS",ROUND(E46*IF(F46=0.2,0.2,IF(F46=0.05,0.05,0)),2),0),IF(I46="Not Claimable (FRS)",0,ROUND(E46*IF(F46=0.2,0.2,IF(F46=0.05,0.05,0)),2))),0)</f>
        <v>0</v>
      </c>
      <c r="H46" s="28">
        <f t="shared" si="2"/>
        <v>0</v>
      </c>
      <c r="I46" s="24" t="str">
        <f>IF(VAT_Return!B16="Flat Rate Scheme","Not Claimable (FRS)","Claimable")</f>
        <v>Claimable</v>
      </c>
      <c r="J46" s="30" t="str">
        <f t="shared" si="3"/>
        <v/>
      </c>
    </row>
    <row r="47" spans="1:10" ht="16.5" customHeight="1" x14ac:dyDescent="0.25">
      <c r="A47" s="22">
        <v>43</v>
      </c>
      <c r="B47" s="23"/>
      <c r="C47" s="24"/>
      <c r="D47" s="25"/>
      <c r="E47" s="26"/>
      <c r="F47" s="27">
        <v>0.2</v>
      </c>
      <c r="G47" s="28">
        <f>IF(ISNUMBER(E47),IF(VAT_Return!B16="Flat Rate Scheme",IF(I47="Capital Goods FRS",ROUND(E47*IF(F47=0.2,0.2,IF(F47=0.05,0.05,0)),2),0),IF(I47="Not Claimable (FRS)",0,ROUND(E47*IF(F47=0.2,0.2,IF(F47=0.05,0.05,0)),2))),0)</f>
        <v>0</v>
      </c>
      <c r="H47" s="28">
        <f t="shared" si="2"/>
        <v>0</v>
      </c>
      <c r="I47" s="24" t="str">
        <f>IF(VAT_Return!B16="Flat Rate Scheme","Not Claimable (FRS)","Claimable")</f>
        <v>Claimable</v>
      </c>
      <c r="J47" s="29" t="str">
        <f t="shared" si="3"/>
        <v/>
      </c>
    </row>
    <row r="48" spans="1:10" ht="16.5" customHeight="1" x14ac:dyDescent="0.25">
      <c r="A48" s="22">
        <v>44</v>
      </c>
      <c r="B48" s="23"/>
      <c r="C48" s="24"/>
      <c r="D48" s="25"/>
      <c r="E48" s="26"/>
      <c r="F48" s="27">
        <v>0.2</v>
      </c>
      <c r="G48" s="28">
        <f>IF(ISNUMBER(E48),IF(VAT_Return!B16="Flat Rate Scheme",IF(I48="Capital Goods FRS",ROUND(E48*IF(F48=0.2,0.2,IF(F48=0.05,0.05,0)),2),0),IF(I48="Not Claimable (FRS)",0,ROUND(E48*IF(F48=0.2,0.2,IF(F48=0.05,0.05,0)),2))),0)</f>
        <v>0</v>
      </c>
      <c r="H48" s="28">
        <f t="shared" si="2"/>
        <v>0</v>
      </c>
      <c r="I48" s="24" t="str">
        <f>IF(VAT_Return!B16="Flat Rate Scheme","Not Claimable (FRS)","Claimable")</f>
        <v>Claimable</v>
      </c>
      <c r="J48" s="30" t="str">
        <f t="shared" si="3"/>
        <v/>
      </c>
    </row>
    <row r="49" spans="1:10" ht="16.5" customHeight="1" x14ac:dyDescent="0.25">
      <c r="A49" s="22">
        <v>45</v>
      </c>
      <c r="B49" s="23"/>
      <c r="C49" s="24"/>
      <c r="D49" s="25"/>
      <c r="E49" s="26"/>
      <c r="F49" s="27">
        <v>0.2</v>
      </c>
      <c r="G49" s="28">
        <f>IF(ISNUMBER(E49),IF(VAT_Return!B16="Flat Rate Scheme",IF(I49="Capital Goods FRS",ROUND(E49*IF(F49=0.2,0.2,IF(F49=0.05,0.05,0)),2),0),IF(I49="Not Claimable (FRS)",0,ROUND(E49*IF(F49=0.2,0.2,IF(F49=0.05,0.05,0)),2))),0)</f>
        <v>0</v>
      </c>
      <c r="H49" s="28">
        <f t="shared" si="2"/>
        <v>0</v>
      </c>
      <c r="I49" s="24" t="str">
        <f>IF(VAT_Return!B16="Flat Rate Scheme","Not Claimable (FRS)","Claimable")</f>
        <v>Claimable</v>
      </c>
      <c r="J49" s="29" t="str">
        <f t="shared" si="3"/>
        <v/>
      </c>
    </row>
    <row r="50" spans="1:10" ht="16.5" customHeight="1" x14ac:dyDescent="0.25">
      <c r="A50" s="22">
        <v>46</v>
      </c>
      <c r="B50" s="23"/>
      <c r="C50" s="24"/>
      <c r="D50" s="25"/>
      <c r="E50" s="26"/>
      <c r="F50" s="27">
        <v>0.2</v>
      </c>
      <c r="G50" s="28">
        <f>IF(ISNUMBER(E50),IF(VAT_Return!B16="Flat Rate Scheme",IF(I50="Capital Goods FRS",ROUND(E50*IF(F50=0.2,0.2,IF(F50=0.05,0.05,0)),2),0),IF(I50="Not Claimable (FRS)",0,ROUND(E50*IF(F50=0.2,0.2,IF(F50=0.05,0.05,0)),2))),0)</f>
        <v>0</v>
      </c>
      <c r="H50" s="28">
        <f t="shared" si="2"/>
        <v>0</v>
      </c>
      <c r="I50" s="24" t="str">
        <f>IF(VAT_Return!B16="Flat Rate Scheme","Not Claimable (FRS)","Claimable")</f>
        <v>Claimable</v>
      </c>
      <c r="J50" s="30" t="str">
        <f t="shared" si="3"/>
        <v/>
      </c>
    </row>
    <row r="51" spans="1:10" ht="16.5" customHeight="1" x14ac:dyDescent="0.25">
      <c r="A51" s="22">
        <v>47</v>
      </c>
      <c r="B51" s="23"/>
      <c r="C51" s="24"/>
      <c r="D51" s="25"/>
      <c r="E51" s="26"/>
      <c r="F51" s="27">
        <v>0.2</v>
      </c>
      <c r="G51" s="28">
        <f>IF(ISNUMBER(E51),IF(VAT_Return!B16="Flat Rate Scheme",IF(I51="Capital Goods FRS",ROUND(E51*IF(F51=0.2,0.2,IF(F51=0.05,0.05,0)),2),0),IF(I51="Not Claimable (FRS)",0,ROUND(E51*IF(F51=0.2,0.2,IF(F51=0.05,0.05,0)),2))),0)</f>
        <v>0</v>
      </c>
      <c r="H51" s="28">
        <f t="shared" si="2"/>
        <v>0</v>
      </c>
      <c r="I51" s="24" t="str">
        <f>IF(VAT_Return!B16="Flat Rate Scheme","Not Claimable (FRS)","Claimable")</f>
        <v>Claimable</v>
      </c>
      <c r="J51" s="29" t="str">
        <f t="shared" si="3"/>
        <v/>
      </c>
    </row>
    <row r="52" spans="1:10" ht="16.5" customHeight="1" x14ac:dyDescent="0.25">
      <c r="A52" s="22">
        <v>48</v>
      </c>
      <c r="B52" s="23"/>
      <c r="C52" s="24"/>
      <c r="D52" s="25"/>
      <c r="E52" s="26"/>
      <c r="F52" s="27">
        <v>0.2</v>
      </c>
      <c r="G52" s="28">
        <f>IF(ISNUMBER(E52),IF(VAT_Return!B16="Flat Rate Scheme",IF(I52="Capital Goods FRS",ROUND(E52*IF(F52=0.2,0.2,IF(F52=0.05,0.05,0)),2),0),IF(I52="Not Claimable (FRS)",0,ROUND(E52*IF(F52=0.2,0.2,IF(F52=0.05,0.05,0)),2))),0)</f>
        <v>0</v>
      </c>
      <c r="H52" s="28">
        <f t="shared" si="2"/>
        <v>0</v>
      </c>
      <c r="I52" s="24" t="str">
        <f>IF(VAT_Return!B16="Flat Rate Scheme","Not Claimable (FRS)","Claimable")</f>
        <v>Claimable</v>
      </c>
      <c r="J52" s="30" t="str">
        <f t="shared" si="3"/>
        <v/>
      </c>
    </row>
    <row r="53" spans="1:10" ht="16.5" customHeight="1" x14ac:dyDescent="0.25">
      <c r="A53" s="22">
        <v>49</v>
      </c>
      <c r="B53" s="23"/>
      <c r="C53" s="24"/>
      <c r="D53" s="25"/>
      <c r="E53" s="26"/>
      <c r="F53" s="27">
        <v>0.2</v>
      </c>
      <c r="G53" s="28">
        <f>IF(ISNUMBER(E53),IF(VAT_Return!B16="Flat Rate Scheme",IF(I53="Capital Goods FRS",ROUND(E53*IF(F53=0.2,0.2,IF(F53=0.05,0.05,0)),2),0),IF(I53="Not Claimable (FRS)",0,ROUND(E53*IF(F53=0.2,0.2,IF(F53=0.05,0.05,0)),2))),0)</f>
        <v>0</v>
      </c>
      <c r="H53" s="28">
        <f t="shared" si="2"/>
        <v>0</v>
      </c>
      <c r="I53" s="24" t="str">
        <f>IF(VAT_Return!B16="Flat Rate Scheme","Not Claimable (FRS)","Claimable")</f>
        <v>Claimable</v>
      </c>
      <c r="J53" s="29" t="str">
        <f t="shared" si="3"/>
        <v/>
      </c>
    </row>
    <row r="54" spans="1:10" ht="16.5" customHeight="1" x14ac:dyDescent="0.25">
      <c r="A54" s="22">
        <v>50</v>
      </c>
      <c r="B54" s="23"/>
      <c r="C54" s="24"/>
      <c r="D54" s="25"/>
      <c r="E54" s="26"/>
      <c r="F54" s="27">
        <v>0.2</v>
      </c>
      <c r="G54" s="28">
        <f>IF(ISNUMBER(E54),IF(VAT_Return!B16="Flat Rate Scheme",IF(I54="Capital Goods FRS",ROUND(E54*IF(F54=0.2,0.2,IF(F54=0.05,0.05,0)),2),0),IF(I54="Not Claimable (FRS)",0,ROUND(E54*IF(F54=0.2,0.2,IF(F54=0.05,0.05,0)),2))),0)</f>
        <v>0</v>
      </c>
      <c r="H54" s="28">
        <f t="shared" si="2"/>
        <v>0</v>
      </c>
      <c r="I54" s="24" t="str">
        <f>IF(VAT_Return!B16="Flat Rate Scheme","Not Claimable (FRS)","Claimable")</f>
        <v>Claimable</v>
      </c>
      <c r="J54" s="30" t="str">
        <f t="shared" si="3"/>
        <v/>
      </c>
    </row>
    <row r="55" spans="1:10" ht="16.5" customHeight="1" x14ac:dyDescent="0.25">
      <c r="A55" s="22">
        <v>51</v>
      </c>
      <c r="B55" s="23"/>
      <c r="C55" s="24"/>
      <c r="D55" s="25"/>
      <c r="E55" s="26"/>
      <c r="F55" s="27">
        <v>0.2</v>
      </c>
      <c r="G55" s="28">
        <f>IF(ISNUMBER(E55),IF(VAT_Return!B16="Flat Rate Scheme",IF(I55="Capital Goods FRS",ROUND(E55*IF(F55=0.2,0.2,IF(F55=0.05,0.05,0)),2),0),IF(I55="Not Claimable (FRS)",0,ROUND(E55*IF(F55=0.2,0.2,IF(F55=0.05,0.05,0)),2))),0)</f>
        <v>0</v>
      </c>
      <c r="H55" s="28">
        <f t="shared" si="2"/>
        <v>0</v>
      </c>
      <c r="I55" s="24" t="str">
        <f>IF(VAT_Return!B16="Flat Rate Scheme","Not Claimable (FRS)","Claimable")</f>
        <v>Claimable</v>
      </c>
      <c r="J55" s="29" t="str">
        <f t="shared" si="3"/>
        <v/>
      </c>
    </row>
    <row r="56" spans="1:10" ht="16.5" customHeight="1" x14ac:dyDescent="0.25">
      <c r="A56" s="22">
        <v>52</v>
      </c>
      <c r="B56" s="23"/>
      <c r="C56" s="24"/>
      <c r="D56" s="25"/>
      <c r="E56" s="26"/>
      <c r="F56" s="27">
        <v>0.2</v>
      </c>
      <c r="G56" s="28">
        <f>IF(ISNUMBER(E56),IF(VAT_Return!B16="Flat Rate Scheme",IF(I56="Capital Goods FRS",ROUND(E56*IF(F56=0.2,0.2,IF(F56=0.05,0.05,0)),2),0),IF(I56="Not Claimable (FRS)",0,ROUND(E56*IF(F56=0.2,0.2,IF(F56=0.05,0.05,0)),2))),0)</f>
        <v>0</v>
      </c>
      <c r="H56" s="28">
        <f t="shared" si="2"/>
        <v>0</v>
      </c>
      <c r="I56" s="24" t="str">
        <f>IF(VAT_Return!B16="Flat Rate Scheme","Not Claimable (FRS)","Claimable")</f>
        <v>Claimable</v>
      </c>
      <c r="J56" s="30" t="str">
        <f t="shared" si="3"/>
        <v/>
      </c>
    </row>
    <row r="57" spans="1:10" ht="16.5" customHeight="1" x14ac:dyDescent="0.25">
      <c r="A57" s="22">
        <v>53</v>
      </c>
      <c r="B57" s="23"/>
      <c r="C57" s="24"/>
      <c r="D57" s="25"/>
      <c r="E57" s="26"/>
      <c r="F57" s="27">
        <v>0.2</v>
      </c>
      <c r="G57" s="28">
        <f>IF(ISNUMBER(E57),IF(VAT_Return!B16="Flat Rate Scheme",IF(I57="Capital Goods FRS",ROUND(E57*IF(F57=0.2,0.2,IF(F57=0.05,0.05,0)),2),0),IF(I57="Not Claimable (FRS)",0,ROUND(E57*IF(F57=0.2,0.2,IF(F57=0.05,0.05,0)),2))),0)</f>
        <v>0</v>
      </c>
      <c r="H57" s="28">
        <f t="shared" si="2"/>
        <v>0</v>
      </c>
      <c r="I57" s="24" t="str">
        <f>IF(VAT_Return!B16="Flat Rate Scheme","Not Claimable (FRS)","Claimable")</f>
        <v>Claimable</v>
      </c>
      <c r="J57" s="29" t="str">
        <f t="shared" si="3"/>
        <v/>
      </c>
    </row>
    <row r="58" spans="1:10" ht="16.5" customHeight="1" x14ac:dyDescent="0.25">
      <c r="A58" s="22">
        <v>54</v>
      </c>
      <c r="B58" s="23"/>
      <c r="C58" s="24"/>
      <c r="D58" s="25"/>
      <c r="E58" s="26"/>
      <c r="F58" s="27">
        <v>0.2</v>
      </c>
      <c r="G58" s="28">
        <f>IF(ISNUMBER(E58),IF(VAT_Return!B16="Flat Rate Scheme",IF(I58="Capital Goods FRS",ROUND(E58*IF(F58=0.2,0.2,IF(F58=0.05,0.05,0)),2),0),IF(I58="Not Claimable (FRS)",0,ROUND(E58*IF(F58=0.2,0.2,IF(F58=0.05,0.05,0)),2))),0)</f>
        <v>0</v>
      </c>
      <c r="H58" s="28">
        <f t="shared" si="2"/>
        <v>0</v>
      </c>
      <c r="I58" s="24" t="str">
        <f>IF(VAT_Return!B16="Flat Rate Scheme","Not Claimable (FRS)","Claimable")</f>
        <v>Claimable</v>
      </c>
      <c r="J58" s="30" t="str">
        <f t="shared" si="3"/>
        <v/>
      </c>
    </row>
    <row r="59" spans="1:10" ht="16.5" customHeight="1" x14ac:dyDescent="0.25">
      <c r="A59" s="22">
        <v>55</v>
      </c>
      <c r="B59" s="23"/>
      <c r="C59" s="24"/>
      <c r="D59" s="25"/>
      <c r="E59" s="26"/>
      <c r="F59" s="27">
        <v>0.2</v>
      </c>
      <c r="G59" s="28">
        <f>IF(ISNUMBER(E59),IF(VAT_Return!B16="Flat Rate Scheme",IF(I59="Capital Goods FRS",ROUND(E59*IF(F59=0.2,0.2,IF(F59=0.05,0.05,0)),2),0),IF(I59="Not Claimable (FRS)",0,ROUND(E59*IF(F59=0.2,0.2,IF(F59=0.05,0.05,0)),2))),0)</f>
        <v>0</v>
      </c>
      <c r="H59" s="28">
        <f t="shared" si="2"/>
        <v>0</v>
      </c>
      <c r="I59" s="24" t="str">
        <f>IF(VAT_Return!B16="Flat Rate Scheme","Not Claimable (FRS)","Claimable")</f>
        <v>Claimable</v>
      </c>
      <c r="J59" s="29" t="str">
        <f t="shared" si="3"/>
        <v/>
      </c>
    </row>
    <row r="60" spans="1:10" ht="16.5" customHeight="1" x14ac:dyDescent="0.25">
      <c r="A60" s="22">
        <v>56</v>
      </c>
      <c r="B60" s="23"/>
      <c r="C60" s="24"/>
      <c r="D60" s="25"/>
      <c r="E60" s="26"/>
      <c r="F60" s="27">
        <v>0.2</v>
      </c>
      <c r="G60" s="28">
        <f>IF(ISNUMBER(E60),IF(VAT_Return!B16="Flat Rate Scheme",IF(I60="Capital Goods FRS",ROUND(E60*IF(F60=0.2,0.2,IF(F60=0.05,0.05,0)),2),0),IF(I60="Not Claimable (FRS)",0,ROUND(E60*IF(F60=0.2,0.2,IF(F60=0.05,0.05,0)),2))),0)</f>
        <v>0</v>
      </c>
      <c r="H60" s="28">
        <f t="shared" si="2"/>
        <v>0</v>
      </c>
      <c r="I60" s="24" t="str">
        <f>IF(VAT_Return!B16="Flat Rate Scheme","Not Claimable (FRS)","Claimable")</f>
        <v>Claimable</v>
      </c>
      <c r="J60" s="30" t="str">
        <f t="shared" si="3"/>
        <v/>
      </c>
    </row>
    <row r="61" spans="1:10" ht="16.5" customHeight="1" x14ac:dyDescent="0.25">
      <c r="A61" s="22">
        <v>57</v>
      </c>
      <c r="B61" s="23"/>
      <c r="C61" s="24"/>
      <c r="D61" s="25"/>
      <c r="E61" s="26"/>
      <c r="F61" s="27">
        <v>0.2</v>
      </c>
      <c r="G61" s="28">
        <f>IF(ISNUMBER(E61),IF(VAT_Return!B16="Flat Rate Scheme",IF(I61="Capital Goods FRS",ROUND(E61*IF(F61=0.2,0.2,IF(F61=0.05,0.05,0)),2),0),IF(I61="Not Claimable (FRS)",0,ROUND(E61*IF(F61=0.2,0.2,IF(F61=0.05,0.05,0)),2))),0)</f>
        <v>0</v>
      </c>
      <c r="H61" s="28">
        <f t="shared" si="2"/>
        <v>0</v>
      </c>
      <c r="I61" s="24" t="str">
        <f>IF(VAT_Return!B16="Flat Rate Scheme","Not Claimable (FRS)","Claimable")</f>
        <v>Claimable</v>
      </c>
      <c r="J61" s="29" t="str">
        <f t="shared" si="3"/>
        <v/>
      </c>
    </row>
    <row r="62" spans="1:10" ht="16.5" customHeight="1" x14ac:dyDescent="0.25">
      <c r="A62" s="22">
        <v>58</v>
      </c>
      <c r="B62" s="23"/>
      <c r="C62" s="24"/>
      <c r="D62" s="25"/>
      <c r="E62" s="26"/>
      <c r="F62" s="27">
        <v>0.2</v>
      </c>
      <c r="G62" s="28">
        <f>IF(ISNUMBER(E62),IF(VAT_Return!B16="Flat Rate Scheme",IF(I62="Capital Goods FRS",ROUND(E62*IF(F62=0.2,0.2,IF(F62=0.05,0.05,0)),2),0),IF(I62="Not Claimable (FRS)",0,ROUND(E62*IF(F62=0.2,0.2,IF(F62=0.05,0.05,0)),2))),0)</f>
        <v>0</v>
      </c>
      <c r="H62" s="28">
        <f t="shared" si="2"/>
        <v>0</v>
      </c>
      <c r="I62" s="24" t="str">
        <f>IF(VAT_Return!B16="Flat Rate Scheme","Not Claimable (FRS)","Claimable")</f>
        <v>Claimable</v>
      </c>
      <c r="J62" s="30" t="str">
        <f t="shared" si="3"/>
        <v/>
      </c>
    </row>
    <row r="63" spans="1:10" ht="16.5" customHeight="1" x14ac:dyDescent="0.25">
      <c r="A63" s="22">
        <v>59</v>
      </c>
      <c r="B63" s="23"/>
      <c r="C63" s="24"/>
      <c r="D63" s="25"/>
      <c r="E63" s="26"/>
      <c r="F63" s="27">
        <v>0.2</v>
      </c>
      <c r="G63" s="28">
        <f>IF(ISNUMBER(E63),IF(VAT_Return!B16="Flat Rate Scheme",IF(I63="Capital Goods FRS",ROUND(E63*IF(F63=0.2,0.2,IF(F63=0.05,0.05,0)),2),0),IF(I63="Not Claimable (FRS)",0,ROUND(E63*IF(F63=0.2,0.2,IF(F63=0.05,0.05,0)),2))),0)</f>
        <v>0</v>
      </c>
      <c r="H63" s="28">
        <f t="shared" si="2"/>
        <v>0</v>
      </c>
      <c r="I63" s="24" t="str">
        <f>IF(VAT_Return!B16="Flat Rate Scheme","Not Claimable (FRS)","Claimable")</f>
        <v>Claimable</v>
      </c>
      <c r="J63" s="29" t="str">
        <f t="shared" si="3"/>
        <v/>
      </c>
    </row>
    <row r="64" spans="1:10" ht="16.5" customHeight="1" x14ac:dyDescent="0.25">
      <c r="A64" s="22">
        <v>60</v>
      </c>
      <c r="B64" s="23"/>
      <c r="C64" s="24"/>
      <c r="D64" s="25"/>
      <c r="E64" s="26"/>
      <c r="F64" s="27">
        <v>0.2</v>
      </c>
      <c r="G64" s="28">
        <f>IF(ISNUMBER(E64),IF(VAT_Return!B16="Flat Rate Scheme",IF(I64="Capital Goods FRS",ROUND(E64*IF(F64=0.2,0.2,IF(F64=0.05,0.05,0)),2),0),IF(I64="Not Claimable (FRS)",0,ROUND(E64*IF(F64=0.2,0.2,IF(F64=0.05,0.05,0)),2))),0)</f>
        <v>0</v>
      </c>
      <c r="H64" s="28">
        <f t="shared" si="2"/>
        <v>0</v>
      </c>
      <c r="I64" s="24" t="str">
        <f>IF(VAT_Return!B16="Flat Rate Scheme","Not Claimable (FRS)","Claimable")</f>
        <v>Claimable</v>
      </c>
      <c r="J64" s="30" t="str">
        <f t="shared" si="3"/>
        <v/>
      </c>
    </row>
    <row r="65" spans="1:10" ht="16.5" customHeight="1" x14ac:dyDescent="0.25">
      <c r="A65" s="22">
        <v>61</v>
      </c>
      <c r="B65" s="23"/>
      <c r="C65" s="24"/>
      <c r="D65" s="25"/>
      <c r="E65" s="26"/>
      <c r="F65" s="27">
        <v>0.2</v>
      </c>
      <c r="G65" s="28">
        <f>IF(ISNUMBER(E65),IF(VAT_Return!B16="Flat Rate Scheme",IF(I65="Capital Goods FRS",ROUND(E65*IF(F65=0.2,0.2,IF(F65=0.05,0.05,0)),2),0),IF(I65="Not Claimable (FRS)",0,ROUND(E65*IF(F65=0.2,0.2,IF(F65=0.05,0.05,0)),2))),0)</f>
        <v>0</v>
      </c>
      <c r="H65" s="28">
        <f t="shared" si="2"/>
        <v>0</v>
      </c>
      <c r="I65" s="24" t="str">
        <f>IF(VAT_Return!B16="Flat Rate Scheme","Not Claimable (FRS)","Claimable")</f>
        <v>Claimable</v>
      </c>
      <c r="J65" s="29" t="str">
        <f t="shared" si="3"/>
        <v/>
      </c>
    </row>
    <row r="66" spans="1:10" ht="16.5" customHeight="1" x14ac:dyDescent="0.25">
      <c r="A66" s="22">
        <v>62</v>
      </c>
      <c r="B66" s="23"/>
      <c r="C66" s="24"/>
      <c r="D66" s="25"/>
      <c r="E66" s="26"/>
      <c r="F66" s="27">
        <v>0.2</v>
      </c>
      <c r="G66" s="28">
        <f>IF(ISNUMBER(E66),IF(VAT_Return!B16="Flat Rate Scheme",IF(I66="Capital Goods FRS",ROUND(E66*IF(F66=0.2,0.2,IF(F66=0.05,0.05,0)),2),0),IF(I66="Not Claimable (FRS)",0,ROUND(E66*IF(F66=0.2,0.2,IF(F66=0.05,0.05,0)),2))),0)</f>
        <v>0</v>
      </c>
      <c r="H66" s="28">
        <f t="shared" si="2"/>
        <v>0</v>
      </c>
      <c r="I66" s="24" t="str">
        <f>IF(VAT_Return!B16="Flat Rate Scheme","Not Claimable (FRS)","Claimable")</f>
        <v>Claimable</v>
      </c>
      <c r="J66" s="30" t="str">
        <f t="shared" si="3"/>
        <v/>
      </c>
    </row>
    <row r="67" spans="1:10" ht="16.5" customHeight="1" x14ac:dyDescent="0.25">
      <c r="A67" s="22">
        <v>63</v>
      </c>
      <c r="B67" s="23"/>
      <c r="C67" s="24"/>
      <c r="D67" s="25"/>
      <c r="E67" s="26"/>
      <c r="F67" s="27">
        <v>0.2</v>
      </c>
      <c r="G67" s="28">
        <f>IF(ISNUMBER(E67),IF(VAT_Return!B16="Flat Rate Scheme",IF(I67="Capital Goods FRS",ROUND(E67*IF(F67=0.2,0.2,IF(F67=0.05,0.05,0)),2),0),IF(I67="Not Claimable (FRS)",0,ROUND(E67*IF(F67=0.2,0.2,IF(F67=0.05,0.05,0)),2))),0)</f>
        <v>0</v>
      </c>
      <c r="H67" s="28">
        <f t="shared" si="2"/>
        <v>0</v>
      </c>
      <c r="I67" s="24" t="str">
        <f>IF(VAT_Return!B16="Flat Rate Scheme","Not Claimable (FRS)","Claimable")</f>
        <v>Claimable</v>
      </c>
      <c r="J67" s="29" t="str">
        <f t="shared" si="3"/>
        <v/>
      </c>
    </row>
    <row r="68" spans="1:10" ht="16.5" customHeight="1" x14ac:dyDescent="0.25">
      <c r="A68" s="22">
        <v>64</v>
      </c>
      <c r="B68" s="23"/>
      <c r="C68" s="24"/>
      <c r="D68" s="25"/>
      <c r="E68" s="26"/>
      <c r="F68" s="27">
        <v>0.2</v>
      </c>
      <c r="G68" s="28">
        <f>IF(ISNUMBER(E68),IF(VAT_Return!B16="Flat Rate Scheme",IF(I68="Capital Goods FRS",ROUND(E68*IF(F68=0.2,0.2,IF(F68=0.05,0.05,0)),2),0),IF(I68="Not Claimable (FRS)",0,ROUND(E68*IF(F68=0.2,0.2,IF(F68=0.05,0.05,0)),2))),0)</f>
        <v>0</v>
      </c>
      <c r="H68" s="28">
        <f t="shared" si="2"/>
        <v>0</v>
      </c>
      <c r="I68" s="24" t="str">
        <f>IF(VAT_Return!B16="Flat Rate Scheme","Not Claimable (FRS)","Claimable")</f>
        <v>Claimable</v>
      </c>
      <c r="J68" s="30" t="str">
        <f t="shared" si="3"/>
        <v/>
      </c>
    </row>
    <row r="69" spans="1:10" ht="16.5" customHeight="1" x14ac:dyDescent="0.25">
      <c r="A69" s="22">
        <v>65</v>
      </c>
      <c r="B69" s="23"/>
      <c r="C69" s="24"/>
      <c r="D69" s="25"/>
      <c r="E69" s="26"/>
      <c r="F69" s="27">
        <v>0.2</v>
      </c>
      <c r="G69" s="28">
        <f>IF(ISNUMBER(E69),IF(VAT_Return!B16="Flat Rate Scheme",IF(I69="Capital Goods FRS",ROUND(E69*IF(F69=0.2,0.2,IF(F69=0.05,0.05,0)),2),0),IF(I69="Not Claimable (FRS)",0,ROUND(E69*IF(F69=0.2,0.2,IF(F69=0.05,0.05,0)),2))),0)</f>
        <v>0</v>
      </c>
      <c r="H69" s="28">
        <f t="shared" ref="H69:H100" si="4">IF(ISNUMBER(E69),ROUND(E69+G69,2),0)</f>
        <v>0</v>
      </c>
      <c r="I69" s="24" t="str">
        <f>IF(VAT_Return!B16="Flat Rate Scheme","Not Claimable (FRS)","Claimable")</f>
        <v>Claimable</v>
      </c>
      <c r="J69" s="29" t="str">
        <f t="shared" ref="J69:J100" si="5">IF(E69="","",IF(ISNUMBER(E69),IF(E69&gt;0,"✓ OK","⚠ Check Net"),"⚠ Not a number"))</f>
        <v/>
      </c>
    </row>
    <row r="70" spans="1:10" ht="16.5" customHeight="1" x14ac:dyDescent="0.25">
      <c r="A70" s="22">
        <v>66</v>
      </c>
      <c r="B70" s="23"/>
      <c r="C70" s="24"/>
      <c r="D70" s="25"/>
      <c r="E70" s="26"/>
      <c r="F70" s="27">
        <v>0.2</v>
      </c>
      <c r="G70" s="28">
        <f>IF(ISNUMBER(E70),IF(VAT_Return!B16="Flat Rate Scheme",IF(I70="Capital Goods FRS",ROUND(E70*IF(F70=0.2,0.2,IF(F70=0.05,0.05,0)),2),0),IF(I70="Not Claimable (FRS)",0,ROUND(E70*IF(F70=0.2,0.2,IF(F70=0.05,0.05,0)),2))),0)</f>
        <v>0</v>
      </c>
      <c r="H70" s="28">
        <f t="shared" si="4"/>
        <v>0</v>
      </c>
      <c r="I70" s="24" t="str">
        <f>IF(VAT_Return!B16="Flat Rate Scheme","Not Claimable (FRS)","Claimable")</f>
        <v>Claimable</v>
      </c>
      <c r="J70" s="30" t="str">
        <f t="shared" si="5"/>
        <v/>
      </c>
    </row>
    <row r="71" spans="1:10" ht="16.5" customHeight="1" x14ac:dyDescent="0.25">
      <c r="A71" s="22">
        <v>67</v>
      </c>
      <c r="B71" s="23"/>
      <c r="C71" s="24"/>
      <c r="D71" s="25"/>
      <c r="E71" s="26"/>
      <c r="F71" s="27">
        <v>0.2</v>
      </c>
      <c r="G71" s="28">
        <f>IF(ISNUMBER(E71),IF(VAT_Return!B16="Flat Rate Scheme",IF(I71="Capital Goods FRS",ROUND(E71*IF(F71=0.2,0.2,IF(F71=0.05,0.05,0)),2),0),IF(I71="Not Claimable (FRS)",0,ROUND(E71*IF(F71=0.2,0.2,IF(F71=0.05,0.05,0)),2))),0)</f>
        <v>0</v>
      </c>
      <c r="H71" s="28">
        <f t="shared" si="4"/>
        <v>0</v>
      </c>
      <c r="I71" s="24" t="str">
        <f>IF(VAT_Return!B16="Flat Rate Scheme","Not Claimable (FRS)","Claimable")</f>
        <v>Claimable</v>
      </c>
      <c r="J71" s="29" t="str">
        <f t="shared" si="5"/>
        <v/>
      </c>
    </row>
    <row r="72" spans="1:10" ht="16.5" customHeight="1" x14ac:dyDescent="0.25">
      <c r="A72" s="22">
        <v>68</v>
      </c>
      <c r="B72" s="23"/>
      <c r="C72" s="24"/>
      <c r="D72" s="25"/>
      <c r="E72" s="26"/>
      <c r="F72" s="27">
        <v>0.2</v>
      </c>
      <c r="G72" s="28">
        <f>IF(ISNUMBER(E72),IF(VAT_Return!B16="Flat Rate Scheme",IF(I72="Capital Goods FRS",ROUND(E72*IF(F72=0.2,0.2,IF(F72=0.05,0.05,0)),2),0),IF(I72="Not Claimable (FRS)",0,ROUND(E72*IF(F72=0.2,0.2,IF(F72=0.05,0.05,0)),2))),0)</f>
        <v>0</v>
      </c>
      <c r="H72" s="28">
        <f t="shared" si="4"/>
        <v>0</v>
      </c>
      <c r="I72" s="24" t="str">
        <f>IF(VAT_Return!B16="Flat Rate Scheme","Not Claimable (FRS)","Claimable")</f>
        <v>Claimable</v>
      </c>
      <c r="J72" s="30" t="str">
        <f t="shared" si="5"/>
        <v/>
      </c>
    </row>
    <row r="73" spans="1:10" ht="16.5" customHeight="1" x14ac:dyDescent="0.25">
      <c r="A73" s="22">
        <v>69</v>
      </c>
      <c r="B73" s="23"/>
      <c r="C73" s="24"/>
      <c r="D73" s="25"/>
      <c r="E73" s="26"/>
      <c r="F73" s="27">
        <v>0.2</v>
      </c>
      <c r="G73" s="28">
        <f>IF(ISNUMBER(E73),IF(VAT_Return!B16="Flat Rate Scheme",IF(I73="Capital Goods FRS",ROUND(E73*IF(F73=0.2,0.2,IF(F73=0.05,0.05,0)),2),0),IF(I73="Not Claimable (FRS)",0,ROUND(E73*IF(F73=0.2,0.2,IF(F73=0.05,0.05,0)),2))),0)</f>
        <v>0</v>
      </c>
      <c r="H73" s="28">
        <f t="shared" si="4"/>
        <v>0</v>
      </c>
      <c r="I73" s="24" t="str">
        <f>IF(VAT_Return!B16="Flat Rate Scheme","Not Claimable (FRS)","Claimable")</f>
        <v>Claimable</v>
      </c>
      <c r="J73" s="29" t="str">
        <f t="shared" si="5"/>
        <v/>
      </c>
    </row>
    <row r="74" spans="1:10" ht="16.5" customHeight="1" x14ac:dyDescent="0.25">
      <c r="A74" s="22">
        <v>70</v>
      </c>
      <c r="B74" s="23"/>
      <c r="C74" s="24"/>
      <c r="D74" s="25"/>
      <c r="E74" s="26"/>
      <c r="F74" s="27">
        <v>0.2</v>
      </c>
      <c r="G74" s="28">
        <f>IF(ISNUMBER(E74),IF(VAT_Return!B16="Flat Rate Scheme",IF(I74="Capital Goods FRS",ROUND(E74*IF(F74=0.2,0.2,IF(F74=0.05,0.05,0)),2),0),IF(I74="Not Claimable (FRS)",0,ROUND(E74*IF(F74=0.2,0.2,IF(F74=0.05,0.05,0)),2))),0)</f>
        <v>0</v>
      </c>
      <c r="H74" s="28">
        <f t="shared" si="4"/>
        <v>0</v>
      </c>
      <c r="I74" s="24" t="str">
        <f>IF(VAT_Return!B16="Flat Rate Scheme","Not Claimable (FRS)","Claimable")</f>
        <v>Claimable</v>
      </c>
      <c r="J74" s="30" t="str">
        <f t="shared" si="5"/>
        <v/>
      </c>
    </row>
    <row r="75" spans="1:10" ht="16.5" customHeight="1" x14ac:dyDescent="0.25">
      <c r="A75" s="22">
        <v>71</v>
      </c>
      <c r="B75" s="23"/>
      <c r="C75" s="24"/>
      <c r="D75" s="25"/>
      <c r="E75" s="26"/>
      <c r="F75" s="27">
        <v>0.2</v>
      </c>
      <c r="G75" s="28">
        <f>IF(ISNUMBER(E75),IF(VAT_Return!B16="Flat Rate Scheme",IF(I75="Capital Goods FRS",ROUND(E75*IF(F75=0.2,0.2,IF(F75=0.05,0.05,0)),2),0),IF(I75="Not Claimable (FRS)",0,ROUND(E75*IF(F75=0.2,0.2,IF(F75=0.05,0.05,0)),2))),0)</f>
        <v>0</v>
      </c>
      <c r="H75" s="28">
        <f t="shared" si="4"/>
        <v>0</v>
      </c>
      <c r="I75" s="24" t="str">
        <f>IF(VAT_Return!B16="Flat Rate Scheme","Not Claimable (FRS)","Claimable")</f>
        <v>Claimable</v>
      </c>
      <c r="J75" s="29" t="str">
        <f t="shared" si="5"/>
        <v/>
      </c>
    </row>
    <row r="76" spans="1:10" ht="16.5" customHeight="1" x14ac:dyDescent="0.25">
      <c r="A76" s="22">
        <v>72</v>
      </c>
      <c r="B76" s="23"/>
      <c r="C76" s="24"/>
      <c r="D76" s="25"/>
      <c r="E76" s="26"/>
      <c r="F76" s="27">
        <v>0.2</v>
      </c>
      <c r="G76" s="28">
        <f>IF(ISNUMBER(E76),IF(VAT_Return!B16="Flat Rate Scheme",IF(I76="Capital Goods FRS",ROUND(E76*IF(F76=0.2,0.2,IF(F76=0.05,0.05,0)),2),0),IF(I76="Not Claimable (FRS)",0,ROUND(E76*IF(F76=0.2,0.2,IF(F76=0.05,0.05,0)),2))),0)</f>
        <v>0</v>
      </c>
      <c r="H76" s="28">
        <f t="shared" si="4"/>
        <v>0</v>
      </c>
      <c r="I76" s="24" t="str">
        <f>IF(VAT_Return!B16="Flat Rate Scheme","Not Claimable (FRS)","Claimable")</f>
        <v>Claimable</v>
      </c>
      <c r="J76" s="30" t="str">
        <f t="shared" si="5"/>
        <v/>
      </c>
    </row>
    <row r="77" spans="1:10" ht="16.5" customHeight="1" x14ac:dyDescent="0.25">
      <c r="A77" s="22">
        <v>73</v>
      </c>
      <c r="B77" s="23"/>
      <c r="C77" s="24"/>
      <c r="D77" s="25"/>
      <c r="E77" s="26"/>
      <c r="F77" s="27">
        <v>0.2</v>
      </c>
      <c r="G77" s="28">
        <f>IF(ISNUMBER(E77),IF(VAT_Return!B16="Flat Rate Scheme",IF(I77="Capital Goods FRS",ROUND(E77*IF(F77=0.2,0.2,IF(F77=0.05,0.05,0)),2),0),IF(I77="Not Claimable (FRS)",0,ROUND(E77*IF(F77=0.2,0.2,IF(F77=0.05,0.05,0)),2))),0)</f>
        <v>0</v>
      </c>
      <c r="H77" s="28">
        <f t="shared" si="4"/>
        <v>0</v>
      </c>
      <c r="I77" s="24" t="str">
        <f>IF(VAT_Return!B16="Flat Rate Scheme","Not Claimable (FRS)","Claimable")</f>
        <v>Claimable</v>
      </c>
      <c r="J77" s="29" t="str">
        <f t="shared" si="5"/>
        <v/>
      </c>
    </row>
    <row r="78" spans="1:10" ht="16.5" customHeight="1" x14ac:dyDescent="0.25">
      <c r="A78" s="22">
        <v>74</v>
      </c>
      <c r="B78" s="23"/>
      <c r="C78" s="24"/>
      <c r="D78" s="25"/>
      <c r="E78" s="26"/>
      <c r="F78" s="27">
        <v>0.2</v>
      </c>
      <c r="G78" s="28">
        <f>IF(ISNUMBER(E78),IF(VAT_Return!B16="Flat Rate Scheme",IF(I78="Capital Goods FRS",ROUND(E78*IF(F78=0.2,0.2,IF(F78=0.05,0.05,0)),2),0),IF(I78="Not Claimable (FRS)",0,ROUND(E78*IF(F78=0.2,0.2,IF(F78=0.05,0.05,0)),2))),0)</f>
        <v>0</v>
      </c>
      <c r="H78" s="28">
        <f t="shared" si="4"/>
        <v>0</v>
      </c>
      <c r="I78" s="24" t="str">
        <f>IF(VAT_Return!B16="Flat Rate Scheme","Not Claimable (FRS)","Claimable")</f>
        <v>Claimable</v>
      </c>
      <c r="J78" s="30" t="str">
        <f t="shared" si="5"/>
        <v/>
      </c>
    </row>
    <row r="79" spans="1:10" ht="16.5" customHeight="1" x14ac:dyDescent="0.25">
      <c r="A79" s="22">
        <v>75</v>
      </c>
      <c r="B79" s="23"/>
      <c r="C79" s="24"/>
      <c r="D79" s="25"/>
      <c r="E79" s="26"/>
      <c r="F79" s="27">
        <v>0.2</v>
      </c>
      <c r="G79" s="28">
        <f>IF(ISNUMBER(E79),IF(VAT_Return!B16="Flat Rate Scheme",IF(I79="Capital Goods FRS",ROUND(E79*IF(F79=0.2,0.2,IF(F79=0.05,0.05,0)),2),0),IF(I79="Not Claimable (FRS)",0,ROUND(E79*IF(F79=0.2,0.2,IF(F79=0.05,0.05,0)),2))),0)</f>
        <v>0</v>
      </c>
      <c r="H79" s="28">
        <f t="shared" si="4"/>
        <v>0</v>
      </c>
      <c r="I79" s="24" t="str">
        <f>IF(VAT_Return!B16="Flat Rate Scheme","Not Claimable (FRS)","Claimable")</f>
        <v>Claimable</v>
      </c>
      <c r="J79" s="29" t="str">
        <f t="shared" si="5"/>
        <v/>
      </c>
    </row>
    <row r="80" spans="1:10" ht="16.5" customHeight="1" x14ac:dyDescent="0.25">
      <c r="A80" s="22">
        <v>76</v>
      </c>
      <c r="B80" s="23"/>
      <c r="C80" s="24"/>
      <c r="D80" s="25"/>
      <c r="E80" s="26"/>
      <c r="F80" s="27">
        <v>0.2</v>
      </c>
      <c r="G80" s="28">
        <f>IF(ISNUMBER(E80),IF(VAT_Return!B16="Flat Rate Scheme",IF(I80="Capital Goods FRS",ROUND(E80*IF(F80=0.2,0.2,IF(F80=0.05,0.05,0)),2),0),IF(I80="Not Claimable (FRS)",0,ROUND(E80*IF(F80=0.2,0.2,IF(F80=0.05,0.05,0)),2))),0)</f>
        <v>0</v>
      </c>
      <c r="H80" s="28">
        <f t="shared" si="4"/>
        <v>0</v>
      </c>
      <c r="I80" s="24" t="str">
        <f>IF(VAT_Return!B16="Flat Rate Scheme","Not Claimable (FRS)","Claimable")</f>
        <v>Claimable</v>
      </c>
      <c r="J80" s="30" t="str">
        <f t="shared" si="5"/>
        <v/>
      </c>
    </row>
    <row r="81" spans="1:10" ht="16.5" customHeight="1" x14ac:dyDescent="0.25">
      <c r="A81" s="22">
        <v>77</v>
      </c>
      <c r="B81" s="23"/>
      <c r="C81" s="24"/>
      <c r="D81" s="25"/>
      <c r="E81" s="26"/>
      <c r="F81" s="27">
        <v>0.2</v>
      </c>
      <c r="G81" s="28">
        <f>IF(ISNUMBER(E81),IF(VAT_Return!B16="Flat Rate Scheme",IF(I81="Capital Goods FRS",ROUND(E81*IF(F81=0.2,0.2,IF(F81=0.05,0.05,0)),2),0),IF(I81="Not Claimable (FRS)",0,ROUND(E81*IF(F81=0.2,0.2,IF(F81=0.05,0.05,0)),2))),0)</f>
        <v>0</v>
      </c>
      <c r="H81" s="28">
        <f t="shared" si="4"/>
        <v>0</v>
      </c>
      <c r="I81" s="24" t="str">
        <f>IF(VAT_Return!B16="Flat Rate Scheme","Not Claimable (FRS)","Claimable")</f>
        <v>Claimable</v>
      </c>
      <c r="J81" s="29" t="str">
        <f t="shared" si="5"/>
        <v/>
      </c>
    </row>
    <row r="82" spans="1:10" ht="16.5" customHeight="1" x14ac:dyDescent="0.25">
      <c r="A82" s="22">
        <v>78</v>
      </c>
      <c r="B82" s="23"/>
      <c r="C82" s="24"/>
      <c r="D82" s="25"/>
      <c r="E82" s="26"/>
      <c r="F82" s="27">
        <v>0.2</v>
      </c>
      <c r="G82" s="28">
        <f>IF(ISNUMBER(E82),IF(VAT_Return!B16="Flat Rate Scheme",IF(I82="Capital Goods FRS",ROUND(E82*IF(F82=0.2,0.2,IF(F82=0.05,0.05,0)),2),0),IF(I82="Not Claimable (FRS)",0,ROUND(E82*IF(F82=0.2,0.2,IF(F82=0.05,0.05,0)),2))),0)</f>
        <v>0</v>
      </c>
      <c r="H82" s="28">
        <f t="shared" si="4"/>
        <v>0</v>
      </c>
      <c r="I82" s="24" t="str">
        <f>IF(VAT_Return!B16="Flat Rate Scheme","Not Claimable (FRS)","Claimable")</f>
        <v>Claimable</v>
      </c>
      <c r="J82" s="30" t="str">
        <f t="shared" si="5"/>
        <v/>
      </c>
    </row>
    <row r="83" spans="1:10" ht="16.5" customHeight="1" x14ac:dyDescent="0.25">
      <c r="A83" s="22">
        <v>79</v>
      </c>
      <c r="B83" s="23"/>
      <c r="C83" s="24"/>
      <c r="D83" s="25"/>
      <c r="E83" s="26"/>
      <c r="F83" s="27">
        <v>0.2</v>
      </c>
      <c r="G83" s="28">
        <f>IF(ISNUMBER(E83),IF(VAT_Return!B16="Flat Rate Scheme",IF(I83="Capital Goods FRS",ROUND(E83*IF(F83=0.2,0.2,IF(F83=0.05,0.05,0)),2),0),IF(I83="Not Claimable (FRS)",0,ROUND(E83*IF(F83=0.2,0.2,IF(F83=0.05,0.05,0)),2))),0)</f>
        <v>0</v>
      </c>
      <c r="H83" s="28">
        <f t="shared" si="4"/>
        <v>0</v>
      </c>
      <c r="I83" s="24" t="str">
        <f>IF(VAT_Return!B16="Flat Rate Scheme","Not Claimable (FRS)","Claimable")</f>
        <v>Claimable</v>
      </c>
      <c r="J83" s="29" t="str">
        <f t="shared" si="5"/>
        <v/>
      </c>
    </row>
    <row r="84" spans="1:10" ht="16.5" customHeight="1" x14ac:dyDescent="0.25">
      <c r="A84" s="22">
        <v>80</v>
      </c>
      <c r="B84" s="23"/>
      <c r="C84" s="24"/>
      <c r="D84" s="25"/>
      <c r="E84" s="26"/>
      <c r="F84" s="27">
        <v>0.2</v>
      </c>
      <c r="G84" s="28">
        <f>IF(ISNUMBER(E84),IF(VAT_Return!B16="Flat Rate Scheme",IF(I84="Capital Goods FRS",ROUND(E84*IF(F84=0.2,0.2,IF(F84=0.05,0.05,0)),2),0),IF(I84="Not Claimable (FRS)",0,ROUND(E84*IF(F84=0.2,0.2,IF(F84=0.05,0.05,0)),2))),0)</f>
        <v>0</v>
      </c>
      <c r="H84" s="28">
        <f t="shared" si="4"/>
        <v>0</v>
      </c>
      <c r="I84" s="24" t="str">
        <f>IF(VAT_Return!B16="Flat Rate Scheme","Not Claimable (FRS)","Claimable")</f>
        <v>Claimable</v>
      </c>
      <c r="J84" s="30" t="str">
        <f t="shared" si="5"/>
        <v/>
      </c>
    </row>
    <row r="85" spans="1:10" ht="16.5" customHeight="1" x14ac:dyDescent="0.25">
      <c r="A85" s="22">
        <v>81</v>
      </c>
      <c r="B85" s="23"/>
      <c r="C85" s="24"/>
      <c r="D85" s="25"/>
      <c r="E85" s="26"/>
      <c r="F85" s="27">
        <v>0.2</v>
      </c>
      <c r="G85" s="28">
        <f>IF(ISNUMBER(E85),IF(VAT_Return!B16="Flat Rate Scheme",IF(I85="Capital Goods FRS",ROUND(E85*IF(F85=0.2,0.2,IF(F85=0.05,0.05,0)),2),0),IF(I85="Not Claimable (FRS)",0,ROUND(E85*IF(F85=0.2,0.2,IF(F85=0.05,0.05,0)),2))),0)</f>
        <v>0</v>
      </c>
      <c r="H85" s="28">
        <f t="shared" si="4"/>
        <v>0</v>
      </c>
      <c r="I85" s="24" t="str">
        <f>IF(VAT_Return!B16="Flat Rate Scheme","Not Claimable (FRS)","Claimable")</f>
        <v>Claimable</v>
      </c>
      <c r="J85" s="29" t="str">
        <f t="shared" si="5"/>
        <v/>
      </c>
    </row>
    <row r="86" spans="1:10" ht="16.5" customHeight="1" x14ac:dyDescent="0.25">
      <c r="A86" s="22">
        <v>82</v>
      </c>
      <c r="B86" s="23"/>
      <c r="C86" s="24"/>
      <c r="D86" s="25"/>
      <c r="E86" s="26"/>
      <c r="F86" s="27">
        <v>0.2</v>
      </c>
      <c r="G86" s="28">
        <f>IF(ISNUMBER(E86),IF(VAT_Return!B16="Flat Rate Scheme",IF(I86="Capital Goods FRS",ROUND(E86*IF(F86=0.2,0.2,IF(F86=0.05,0.05,0)),2),0),IF(I86="Not Claimable (FRS)",0,ROUND(E86*IF(F86=0.2,0.2,IF(F86=0.05,0.05,0)),2))),0)</f>
        <v>0</v>
      </c>
      <c r="H86" s="28">
        <f t="shared" si="4"/>
        <v>0</v>
      </c>
      <c r="I86" s="24" t="str">
        <f>IF(VAT_Return!B16="Flat Rate Scheme","Not Claimable (FRS)","Claimable")</f>
        <v>Claimable</v>
      </c>
      <c r="J86" s="30" t="str">
        <f t="shared" si="5"/>
        <v/>
      </c>
    </row>
    <row r="87" spans="1:10" ht="16.5" customHeight="1" x14ac:dyDescent="0.25">
      <c r="A87" s="22">
        <v>83</v>
      </c>
      <c r="B87" s="23"/>
      <c r="C87" s="24"/>
      <c r="D87" s="25"/>
      <c r="E87" s="26"/>
      <c r="F87" s="27">
        <v>0.2</v>
      </c>
      <c r="G87" s="28">
        <f>IF(ISNUMBER(E87),IF(VAT_Return!B16="Flat Rate Scheme",IF(I87="Capital Goods FRS",ROUND(E87*IF(F87=0.2,0.2,IF(F87=0.05,0.05,0)),2),0),IF(I87="Not Claimable (FRS)",0,ROUND(E87*IF(F87=0.2,0.2,IF(F87=0.05,0.05,0)),2))),0)</f>
        <v>0</v>
      </c>
      <c r="H87" s="28">
        <f t="shared" si="4"/>
        <v>0</v>
      </c>
      <c r="I87" s="24" t="str">
        <f>IF(VAT_Return!B16="Flat Rate Scheme","Not Claimable (FRS)","Claimable")</f>
        <v>Claimable</v>
      </c>
      <c r="J87" s="29" t="str">
        <f t="shared" si="5"/>
        <v/>
      </c>
    </row>
    <row r="88" spans="1:10" ht="16.5" customHeight="1" x14ac:dyDescent="0.25">
      <c r="A88" s="22">
        <v>84</v>
      </c>
      <c r="B88" s="23"/>
      <c r="C88" s="24"/>
      <c r="D88" s="25"/>
      <c r="E88" s="26"/>
      <c r="F88" s="27">
        <v>0.2</v>
      </c>
      <c r="G88" s="28">
        <f>IF(ISNUMBER(E88),IF(VAT_Return!B16="Flat Rate Scheme",IF(I88="Capital Goods FRS",ROUND(E88*IF(F88=0.2,0.2,IF(F88=0.05,0.05,0)),2),0),IF(I88="Not Claimable (FRS)",0,ROUND(E88*IF(F88=0.2,0.2,IF(F88=0.05,0.05,0)),2))),0)</f>
        <v>0</v>
      </c>
      <c r="H88" s="28">
        <f t="shared" si="4"/>
        <v>0</v>
      </c>
      <c r="I88" s="24" t="str">
        <f>IF(VAT_Return!B16="Flat Rate Scheme","Not Claimable (FRS)","Claimable")</f>
        <v>Claimable</v>
      </c>
      <c r="J88" s="30" t="str">
        <f t="shared" si="5"/>
        <v/>
      </c>
    </row>
    <row r="89" spans="1:10" ht="16.5" customHeight="1" x14ac:dyDescent="0.25">
      <c r="A89" s="22">
        <v>85</v>
      </c>
      <c r="B89" s="23"/>
      <c r="C89" s="24"/>
      <c r="D89" s="25"/>
      <c r="E89" s="26"/>
      <c r="F89" s="27">
        <v>0.2</v>
      </c>
      <c r="G89" s="28">
        <f>IF(ISNUMBER(E89),IF(VAT_Return!B16="Flat Rate Scheme",IF(I89="Capital Goods FRS",ROUND(E89*IF(F89=0.2,0.2,IF(F89=0.05,0.05,0)),2),0),IF(I89="Not Claimable (FRS)",0,ROUND(E89*IF(F89=0.2,0.2,IF(F89=0.05,0.05,0)),2))),0)</f>
        <v>0</v>
      </c>
      <c r="H89" s="28">
        <f t="shared" si="4"/>
        <v>0</v>
      </c>
      <c r="I89" s="24" t="str">
        <f>IF(VAT_Return!B16="Flat Rate Scheme","Not Claimable (FRS)","Claimable")</f>
        <v>Claimable</v>
      </c>
      <c r="J89" s="29" t="str">
        <f t="shared" si="5"/>
        <v/>
      </c>
    </row>
    <row r="90" spans="1:10" ht="16.5" customHeight="1" x14ac:dyDescent="0.25">
      <c r="A90" s="22">
        <v>86</v>
      </c>
      <c r="B90" s="23"/>
      <c r="C90" s="24"/>
      <c r="D90" s="25"/>
      <c r="E90" s="26"/>
      <c r="F90" s="27">
        <v>0.2</v>
      </c>
      <c r="G90" s="28">
        <f>IF(ISNUMBER(E90),IF(VAT_Return!B16="Flat Rate Scheme",IF(I90="Capital Goods FRS",ROUND(E90*IF(F90=0.2,0.2,IF(F90=0.05,0.05,0)),2),0),IF(I90="Not Claimable (FRS)",0,ROUND(E90*IF(F90=0.2,0.2,IF(F90=0.05,0.05,0)),2))),0)</f>
        <v>0</v>
      </c>
      <c r="H90" s="28">
        <f t="shared" si="4"/>
        <v>0</v>
      </c>
      <c r="I90" s="24" t="str">
        <f>IF(VAT_Return!B16="Flat Rate Scheme","Not Claimable (FRS)","Claimable")</f>
        <v>Claimable</v>
      </c>
      <c r="J90" s="30" t="str">
        <f t="shared" si="5"/>
        <v/>
      </c>
    </row>
    <row r="91" spans="1:10" ht="16.5" customHeight="1" x14ac:dyDescent="0.25">
      <c r="A91" s="22">
        <v>87</v>
      </c>
      <c r="B91" s="23"/>
      <c r="C91" s="24"/>
      <c r="D91" s="25"/>
      <c r="E91" s="26"/>
      <c r="F91" s="27">
        <v>0.2</v>
      </c>
      <c r="G91" s="28">
        <f>IF(ISNUMBER(E91),IF(VAT_Return!B16="Flat Rate Scheme",IF(I91="Capital Goods FRS",ROUND(E91*IF(F91=0.2,0.2,IF(F91=0.05,0.05,0)),2),0),IF(I91="Not Claimable (FRS)",0,ROUND(E91*IF(F91=0.2,0.2,IF(F91=0.05,0.05,0)),2))),0)</f>
        <v>0</v>
      </c>
      <c r="H91" s="28">
        <f t="shared" si="4"/>
        <v>0</v>
      </c>
      <c r="I91" s="24" t="str">
        <f>IF(VAT_Return!B16="Flat Rate Scheme","Not Claimable (FRS)","Claimable")</f>
        <v>Claimable</v>
      </c>
      <c r="J91" s="29" t="str">
        <f t="shared" si="5"/>
        <v/>
      </c>
    </row>
    <row r="92" spans="1:10" ht="16.5" customHeight="1" x14ac:dyDescent="0.25">
      <c r="A92" s="22">
        <v>88</v>
      </c>
      <c r="B92" s="23"/>
      <c r="C92" s="24"/>
      <c r="D92" s="25"/>
      <c r="E92" s="26"/>
      <c r="F92" s="27">
        <v>0.2</v>
      </c>
      <c r="G92" s="28">
        <f>IF(ISNUMBER(E92),IF(VAT_Return!B16="Flat Rate Scheme",IF(I92="Capital Goods FRS",ROUND(E92*IF(F92=0.2,0.2,IF(F92=0.05,0.05,0)),2),0),IF(I92="Not Claimable (FRS)",0,ROUND(E92*IF(F92=0.2,0.2,IF(F92=0.05,0.05,0)),2))),0)</f>
        <v>0</v>
      </c>
      <c r="H92" s="28">
        <f t="shared" si="4"/>
        <v>0</v>
      </c>
      <c r="I92" s="24" t="str">
        <f>IF(VAT_Return!B16="Flat Rate Scheme","Not Claimable (FRS)","Claimable")</f>
        <v>Claimable</v>
      </c>
      <c r="J92" s="30" t="str">
        <f t="shared" si="5"/>
        <v/>
      </c>
    </row>
    <row r="93" spans="1:10" ht="16.5" customHeight="1" x14ac:dyDescent="0.25">
      <c r="A93" s="22">
        <v>89</v>
      </c>
      <c r="B93" s="23"/>
      <c r="C93" s="24"/>
      <c r="D93" s="25"/>
      <c r="E93" s="26"/>
      <c r="F93" s="27">
        <v>0.2</v>
      </c>
      <c r="G93" s="28">
        <f>IF(ISNUMBER(E93),IF(VAT_Return!B16="Flat Rate Scheme",IF(I93="Capital Goods FRS",ROUND(E93*IF(F93=0.2,0.2,IF(F93=0.05,0.05,0)),2),0),IF(I93="Not Claimable (FRS)",0,ROUND(E93*IF(F93=0.2,0.2,IF(F93=0.05,0.05,0)),2))),0)</f>
        <v>0</v>
      </c>
      <c r="H93" s="28">
        <f t="shared" si="4"/>
        <v>0</v>
      </c>
      <c r="I93" s="24" t="str">
        <f>IF(VAT_Return!B16="Flat Rate Scheme","Not Claimable (FRS)","Claimable")</f>
        <v>Claimable</v>
      </c>
      <c r="J93" s="29" t="str">
        <f t="shared" si="5"/>
        <v/>
      </c>
    </row>
    <row r="94" spans="1:10" ht="16.5" customHeight="1" x14ac:dyDescent="0.25">
      <c r="A94" s="22">
        <v>90</v>
      </c>
      <c r="B94" s="23"/>
      <c r="C94" s="24"/>
      <c r="D94" s="25"/>
      <c r="E94" s="26"/>
      <c r="F94" s="27">
        <v>0.2</v>
      </c>
      <c r="G94" s="28">
        <f>IF(ISNUMBER(E94),IF(VAT_Return!B16="Flat Rate Scheme",IF(I94="Capital Goods FRS",ROUND(E94*IF(F94=0.2,0.2,IF(F94=0.05,0.05,0)),2),0),IF(I94="Not Claimable (FRS)",0,ROUND(E94*IF(F94=0.2,0.2,IF(F94=0.05,0.05,0)),2))),0)</f>
        <v>0</v>
      </c>
      <c r="H94" s="28">
        <f t="shared" si="4"/>
        <v>0</v>
      </c>
      <c r="I94" s="24" t="str">
        <f>IF(VAT_Return!B16="Flat Rate Scheme","Not Claimable (FRS)","Claimable")</f>
        <v>Claimable</v>
      </c>
      <c r="J94" s="30" t="str">
        <f t="shared" si="5"/>
        <v/>
      </c>
    </row>
    <row r="95" spans="1:10" ht="16.5" customHeight="1" x14ac:dyDescent="0.25">
      <c r="A95" s="22">
        <v>91</v>
      </c>
      <c r="B95" s="23"/>
      <c r="C95" s="24"/>
      <c r="D95" s="25"/>
      <c r="E95" s="26"/>
      <c r="F95" s="27">
        <v>0.2</v>
      </c>
      <c r="G95" s="28">
        <f>IF(ISNUMBER(E95),IF(VAT_Return!B16="Flat Rate Scheme",IF(I95="Capital Goods FRS",ROUND(E95*IF(F95=0.2,0.2,IF(F95=0.05,0.05,0)),2),0),IF(I95="Not Claimable (FRS)",0,ROUND(E95*IF(F95=0.2,0.2,IF(F95=0.05,0.05,0)),2))),0)</f>
        <v>0</v>
      </c>
      <c r="H95" s="28">
        <f t="shared" si="4"/>
        <v>0</v>
      </c>
      <c r="I95" s="24" t="str">
        <f>IF(VAT_Return!B16="Flat Rate Scheme","Not Claimable (FRS)","Claimable")</f>
        <v>Claimable</v>
      </c>
      <c r="J95" s="29" t="str">
        <f t="shared" si="5"/>
        <v/>
      </c>
    </row>
    <row r="96" spans="1:10" ht="16.5" customHeight="1" x14ac:dyDescent="0.25">
      <c r="A96" s="22">
        <v>92</v>
      </c>
      <c r="B96" s="23"/>
      <c r="C96" s="24"/>
      <c r="D96" s="25"/>
      <c r="E96" s="26"/>
      <c r="F96" s="27">
        <v>0.2</v>
      </c>
      <c r="G96" s="28">
        <f>IF(ISNUMBER(E96),IF(VAT_Return!B16="Flat Rate Scheme",IF(I96="Capital Goods FRS",ROUND(E96*IF(F96=0.2,0.2,IF(F96=0.05,0.05,0)),2),0),IF(I96="Not Claimable (FRS)",0,ROUND(E96*IF(F96=0.2,0.2,IF(F96=0.05,0.05,0)),2))),0)</f>
        <v>0</v>
      </c>
      <c r="H96" s="28">
        <f t="shared" si="4"/>
        <v>0</v>
      </c>
      <c r="I96" s="24" t="str">
        <f>IF(VAT_Return!B16="Flat Rate Scheme","Not Claimable (FRS)","Claimable")</f>
        <v>Claimable</v>
      </c>
      <c r="J96" s="30" t="str">
        <f t="shared" si="5"/>
        <v/>
      </c>
    </row>
    <row r="97" spans="1:10" ht="16.5" customHeight="1" x14ac:dyDescent="0.25">
      <c r="A97" s="22">
        <v>93</v>
      </c>
      <c r="B97" s="23"/>
      <c r="C97" s="24"/>
      <c r="D97" s="25"/>
      <c r="E97" s="26"/>
      <c r="F97" s="27">
        <v>0.2</v>
      </c>
      <c r="G97" s="28">
        <f>IF(ISNUMBER(E97),IF(VAT_Return!B16="Flat Rate Scheme",IF(I97="Capital Goods FRS",ROUND(E97*IF(F97=0.2,0.2,IF(F97=0.05,0.05,0)),2),0),IF(I97="Not Claimable (FRS)",0,ROUND(E97*IF(F97=0.2,0.2,IF(F97=0.05,0.05,0)),2))),0)</f>
        <v>0</v>
      </c>
      <c r="H97" s="28">
        <f t="shared" si="4"/>
        <v>0</v>
      </c>
      <c r="I97" s="24" t="str">
        <f>IF(VAT_Return!B16="Flat Rate Scheme","Not Claimable (FRS)","Claimable")</f>
        <v>Claimable</v>
      </c>
      <c r="J97" s="29" t="str">
        <f t="shared" si="5"/>
        <v/>
      </c>
    </row>
    <row r="98" spans="1:10" ht="16.5" customHeight="1" x14ac:dyDescent="0.25">
      <c r="A98" s="22">
        <v>94</v>
      </c>
      <c r="B98" s="23"/>
      <c r="C98" s="24"/>
      <c r="D98" s="25"/>
      <c r="E98" s="26"/>
      <c r="F98" s="27">
        <v>0.2</v>
      </c>
      <c r="G98" s="28">
        <f>IF(ISNUMBER(E98),IF(VAT_Return!B16="Flat Rate Scheme",IF(I98="Capital Goods FRS",ROUND(E98*IF(F98=0.2,0.2,IF(F98=0.05,0.05,0)),2),0),IF(I98="Not Claimable (FRS)",0,ROUND(E98*IF(F98=0.2,0.2,IF(F98=0.05,0.05,0)),2))),0)</f>
        <v>0</v>
      </c>
      <c r="H98" s="28">
        <f t="shared" si="4"/>
        <v>0</v>
      </c>
      <c r="I98" s="24" t="str">
        <f>IF(VAT_Return!B16="Flat Rate Scheme","Not Claimable (FRS)","Claimable")</f>
        <v>Claimable</v>
      </c>
      <c r="J98" s="30" t="str">
        <f t="shared" si="5"/>
        <v/>
      </c>
    </row>
    <row r="99" spans="1:10" ht="16.5" customHeight="1" x14ac:dyDescent="0.25">
      <c r="A99" s="22">
        <v>95</v>
      </c>
      <c r="B99" s="23"/>
      <c r="C99" s="24"/>
      <c r="D99" s="25"/>
      <c r="E99" s="26"/>
      <c r="F99" s="27">
        <v>0.2</v>
      </c>
      <c r="G99" s="28">
        <f>IF(ISNUMBER(E99),IF(VAT_Return!B16="Flat Rate Scheme",IF(I99="Capital Goods FRS",ROUND(E99*IF(F99=0.2,0.2,IF(F99=0.05,0.05,0)),2),0),IF(I99="Not Claimable (FRS)",0,ROUND(E99*IF(F99=0.2,0.2,IF(F99=0.05,0.05,0)),2))),0)</f>
        <v>0</v>
      </c>
      <c r="H99" s="28">
        <f t="shared" si="4"/>
        <v>0</v>
      </c>
      <c r="I99" s="24" t="str">
        <f>IF(VAT_Return!B16="Flat Rate Scheme","Not Claimable (FRS)","Claimable")</f>
        <v>Claimable</v>
      </c>
      <c r="J99" s="29" t="str">
        <f t="shared" si="5"/>
        <v/>
      </c>
    </row>
    <row r="100" spans="1:10" ht="16.5" customHeight="1" x14ac:dyDescent="0.25">
      <c r="A100" s="22">
        <v>96</v>
      </c>
      <c r="B100" s="23"/>
      <c r="C100" s="24"/>
      <c r="D100" s="25"/>
      <c r="E100" s="26"/>
      <c r="F100" s="27">
        <v>0.2</v>
      </c>
      <c r="G100" s="28">
        <f>IF(ISNUMBER(E100),IF(VAT_Return!B16="Flat Rate Scheme",IF(I100="Capital Goods FRS",ROUND(E100*IF(F100=0.2,0.2,IF(F100=0.05,0.05,0)),2),0),IF(I100="Not Claimable (FRS)",0,ROUND(E100*IF(F100=0.2,0.2,IF(F100=0.05,0.05,0)),2))),0)</f>
        <v>0</v>
      </c>
      <c r="H100" s="28">
        <f t="shared" si="4"/>
        <v>0</v>
      </c>
      <c r="I100" s="24" t="str">
        <f>IF(VAT_Return!B16="Flat Rate Scheme","Not Claimable (FRS)","Claimable")</f>
        <v>Claimable</v>
      </c>
      <c r="J100" s="30" t="str">
        <f t="shared" si="5"/>
        <v/>
      </c>
    </row>
    <row r="101" spans="1:10" ht="16.5" customHeight="1" x14ac:dyDescent="0.25">
      <c r="A101" s="22">
        <v>97</v>
      </c>
      <c r="B101" s="23"/>
      <c r="C101" s="24"/>
      <c r="D101" s="25"/>
      <c r="E101" s="26"/>
      <c r="F101" s="27">
        <v>0.2</v>
      </c>
      <c r="G101" s="28">
        <f>IF(ISNUMBER(E101),IF(VAT_Return!B16="Flat Rate Scheme",IF(I101="Capital Goods FRS",ROUND(E101*IF(F101=0.2,0.2,IF(F101=0.05,0.05,0)),2),0),IF(I101="Not Claimable (FRS)",0,ROUND(E101*IF(F101=0.2,0.2,IF(F101=0.05,0.05,0)),2))),0)</f>
        <v>0</v>
      </c>
      <c r="H101" s="28">
        <f t="shared" ref="H101:H132" si="6">IF(ISNUMBER(E101),ROUND(E101+G101,2),0)</f>
        <v>0</v>
      </c>
      <c r="I101" s="24" t="str">
        <f>IF(VAT_Return!B16="Flat Rate Scheme","Not Claimable (FRS)","Claimable")</f>
        <v>Claimable</v>
      </c>
      <c r="J101" s="29" t="str">
        <f t="shared" ref="J101:J132" si="7">IF(E101="","",IF(ISNUMBER(E101),IF(E101&gt;0,"✓ OK","⚠ Check Net"),"⚠ Not a number"))</f>
        <v/>
      </c>
    </row>
    <row r="102" spans="1:10" ht="16.5" customHeight="1" x14ac:dyDescent="0.25">
      <c r="A102" s="22">
        <v>98</v>
      </c>
      <c r="B102" s="23"/>
      <c r="C102" s="24"/>
      <c r="D102" s="25"/>
      <c r="E102" s="26"/>
      <c r="F102" s="27">
        <v>0.2</v>
      </c>
      <c r="G102" s="28">
        <f>IF(ISNUMBER(E102),IF(VAT_Return!B16="Flat Rate Scheme",IF(I102="Capital Goods FRS",ROUND(E102*IF(F102=0.2,0.2,IF(F102=0.05,0.05,0)),2),0),IF(I102="Not Claimable (FRS)",0,ROUND(E102*IF(F102=0.2,0.2,IF(F102=0.05,0.05,0)),2))),0)</f>
        <v>0</v>
      </c>
      <c r="H102" s="28">
        <f t="shared" si="6"/>
        <v>0</v>
      </c>
      <c r="I102" s="24" t="str">
        <f>IF(VAT_Return!B16="Flat Rate Scheme","Not Claimable (FRS)","Claimable")</f>
        <v>Claimable</v>
      </c>
      <c r="J102" s="30" t="str">
        <f t="shared" si="7"/>
        <v/>
      </c>
    </row>
    <row r="103" spans="1:10" ht="16.5" customHeight="1" x14ac:dyDescent="0.25">
      <c r="A103" s="22">
        <v>99</v>
      </c>
      <c r="B103" s="23"/>
      <c r="C103" s="24"/>
      <c r="D103" s="25"/>
      <c r="E103" s="26"/>
      <c r="F103" s="27">
        <v>0.2</v>
      </c>
      <c r="G103" s="28">
        <f>IF(ISNUMBER(E103),IF(VAT_Return!B16="Flat Rate Scheme",IF(I103="Capital Goods FRS",ROUND(E103*IF(F103=0.2,0.2,IF(F103=0.05,0.05,0)),2),0),IF(I103="Not Claimable (FRS)",0,ROUND(E103*IF(F103=0.2,0.2,IF(F103=0.05,0.05,0)),2))),0)</f>
        <v>0</v>
      </c>
      <c r="H103" s="28">
        <f t="shared" si="6"/>
        <v>0</v>
      </c>
      <c r="I103" s="24" t="str">
        <f>IF(VAT_Return!B16="Flat Rate Scheme","Not Claimable (FRS)","Claimable")</f>
        <v>Claimable</v>
      </c>
      <c r="J103" s="29" t="str">
        <f t="shared" si="7"/>
        <v/>
      </c>
    </row>
    <row r="104" spans="1:10" ht="16.5" customHeight="1" x14ac:dyDescent="0.25">
      <c r="A104" s="22">
        <v>100</v>
      </c>
      <c r="B104" s="23"/>
      <c r="C104" s="24"/>
      <c r="D104" s="25"/>
      <c r="E104" s="26"/>
      <c r="F104" s="27">
        <v>0.2</v>
      </c>
      <c r="G104" s="28">
        <f>IF(ISNUMBER(E104),IF(VAT_Return!B16="Flat Rate Scheme",IF(I104="Capital Goods FRS",ROUND(E104*IF(F104=0.2,0.2,IF(F104=0.05,0.05,0)),2),0),IF(I104="Not Claimable (FRS)",0,ROUND(E104*IF(F104=0.2,0.2,IF(F104=0.05,0.05,0)),2))),0)</f>
        <v>0</v>
      </c>
      <c r="H104" s="28">
        <f t="shared" si="6"/>
        <v>0</v>
      </c>
      <c r="I104" s="24" t="str">
        <f>IF(VAT_Return!B16="Flat Rate Scheme","Not Claimable (FRS)","Claimable")</f>
        <v>Claimable</v>
      </c>
      <c r="J104" s="30" t="str">
        <f t="shared" si="7"/>
        <v/>
      </c>
    </row>
    <row r="105" spans="1:10" ht="16.5" customHeight="1" x14ac:dyDescent="0.25">
      <c r="A105" s="22">
        <v>101</v>
      </c>
      <c r="B105" s="23"/>
      <c r="C105" s="24"/>
      <c r="D105" s="25"/>
      <c r="E105" s="26"/>
      <c r="F105" s="27">
        <v>0.2</v>
      </c>
      <c r="G105" s="28">
        <f>IF(ISNUMBER(E105),IF(VAT_Return!B16="Flat Rate Scheme",IF(I105="Capital Goods FRS",ROUND(E105*IF(F105=0.2,0.2,IF(F105=0.05,0.05,0)),2),0),IF(I105="Not Claimable (FRS)",0,ROUND(E105*IF(F105=0.2,0.2,IF(F105=0.05,0.05,0)),2))),0)</f>
        <v>0</v>
      </c>
      <c r="H105" s="28">
        <f t="shared" si="6"/>
        <v>0</v>
      </c>
      <c r="I105" s="24" t="str">
        <f>IF(VAT_Return!B16="Flat Rate Scheme","Not Claimable (FRS)","Claimable")</f>
        <v>Claimable</v>
      </c>
      <c r="J105" s="29" t="str">
        <f t="shared" si="7"/>
        <v/>
      </c>
    </row>
    <row r="106" spans="1:10" ht="16.5" customHeight="1" x14ac:dyDescent="0.25">
      <c r="A106" s="22">
        <v>102</v>
      </c>
      <c r="B106" s="23"/>
      <c r="C106" s="24"/>
      <c r="D106" s="25"/>
      <c r="E106" s="26"/>
      <c r="F106" s="27">
        <v>0.2</v>
      </c>
      <c r="G106" s="28">
        <f>IF(ISNUMBER(E106),IF(VAT_Return!B16="Flat Rate Scheme",IF(I106="Capital Goods FRS",ROUND(E106*IF(F106=0.2,0.2,IF(F106=0.05,0.05,0)),2),0),IF(I106="Not Claimable (FRS)",0,ROUND(E106*IF(F106=0.2,0.2,IF(F106=0.05,0.05,0)),2))),0)</f>
        <v>0</v>
      </c>
      <c r="H106" s="28">
        <f t="shared" si="6"/>
        <v>0</v>
      </c>
      <c r="I106" s="24" t="str">
        <f>IF(VAT_Return!B16="Flat Rate Scheme","Not Claimable (FRS)","Claimable")</f>
        <v>Claimable</v>
      </c>
      <c r="J106" s="30" t="str">
        <f t="shared" si="7"/>
        <v/>
      </c>
    </row>
    <row r="107" spans="1:10" ht="16.5" customHeight="1" x14ac:dyDescent="0.25">
      <c r="A107" s="22">
        <v>103</v>
      </c>
      <c r="B107" s="23"/>
      <c r="C107" s="24"/>
      <c r="D107" s="25"/>
      <c r="E107" s="26"/>
      <c r="F107" s="27">
        <v>0.2</v>
      </c>
      <c r="G107" s="28">
        <f>IF(ISNUMBER(E107),IF(VAT_Return!B16="Flat Rate Scheme",IF(I107="Capital Goods FRS",ROUND(E107*IF(F107=0.2,0.2,IF(F107=0.05,0.05,0)),2),0),IF(I107="Not Claimable (FRS)",0,ROUND(E107*IF(F107=0.2,0.2,IF(F107=0.05,0.05,0)),2))),0)</f>
        <v>0</v>
      </c>
      <c r="H107" s="28">
        <f t="shared" si="6"/>
        <v>0</v>
      </c>
      <c r="I107" s="24" t="str">
        <f>IF(VAT_Return!B16="Flat Rate Scheme","Not Claimable (FRS)","Claimable")</f>
        <v>Claimable</v>
      </c>
      <c r="J107" s="29" t="str">
        <f t="shared" si="7"/>
        <v/>
      </c>
    </row>
    <row r="108" spans="1:10" ht="16.5" customHeight="1" x14ac:dyDescent="0.25">
      <c r="A108" s="22">
        <v>104</v>
      </c>
      <c r="B108" s="23"/>
      <c r="C108" s="24"/>
      <c r="D108" s="25"/>
      <c r="E108" s="26"/>
      <c r="F108" s="27">
        <v>0.2</v>
      </c>
      <c r="G108" s="28">
        <f>IF(ISNUMBER(E108),IF(VAT_Return!B16="Flat Rate Scheme",IF(I108="Capital Goods FRS",ROUND(E108*IF(F108=0.2,0.2,IF(F108=0.05,0.05,0)),2),0),IF(I108="Not Claimable (FRS)",0,ROUND(E108*IF(F108=0.2,0.2,IF(F108=0.05,0.05,0)),2))),0)</f>
        <v>0</v>
      </c>
      <c r="H108" s="28">
        <f t="shared" si="6"/>
        <v>0</v>
      </c>
      <c r="I108" s="24" t="str">
        <f>IF(VAT_Return!B16="Flat Rate Scheme","Not Claimable (FRS)","Claimable")</f>
        <v>Claimable</v>
      </c>
      <c r="J108" s="30" t="str">
        <f t="shared" si="7"/>
        <v/>
      </c>
    </row>
    <row r="109" spans="1:10" ht="16.5" customHeight="1" x14ac:dyDescent="0.25">
      <c r="A109" s="22">
        <v>105</v>
      </c>
      <c r="B109" s="23"/>
      <c r="C109" s="24"/>
      <c r="D109" s="25"/>
      <c r="E109" s="26"/>
      <c r="F109" s="27">
        <v>0.2</v>
      </c>
      <c r="G109" s="28">
        <f>IF(ISNUMBER(E109),IF(VAT_Return!B16="Flat Rate Scheme",IF(I109="Capital Goods FRS",ROUND(E109*IF(F109=0.2,0.2,IF(F109=0.05,0.05,0)),2),0),IF(I109="Not Claimable (FRS)",0,ROUND(E109*IF(F109=0.2,0.2,IF(F109=0.05,0.05,0)),2))),0)</f>
        <v>0</v>
      </c>
      <c r="H109" s="28">
        <f t="shared" si="6"/>
        <v>0</v>
      </c>
      <c r="I109" s="24" t="str">
        <f>IF(VAT_Return!B16="Flat Rate Scheme","Not Claimable (FRS)","Claimable")</f>
        <v>Claimable</v>
      </c>
      <c r="J109" s="29" t="str">
        <f t="shared" si="7"/>
        <v/>
      </c>
    </row>
    <row r="110" spans="1:10" ht="16.5" customHeight="1" x14ac:dyDescent="0.25">
      <c r="A110" s="22">
        <v>106</v>
      </c>
      <c r="B110" s="23"/>
      <c r="C110" s="24"/>
      <c r="D110" s="25"/>
      <c r="E110" s="26"/>
      <c r="F110" s="27">
        <v>0.2</v>
      </c>
      <c r="G110" s="28">
        <f>IF(ISNUMBER(E110),IF(VAT_Return!B16="Flat Rate Scheme",IF(I110="Capital Goods FRS",ROUND(E110*IF(F110=0.2,0.2,IF(F110=0.05,0.05,0)),2),0),IF(I110="Not Claimable (FRS)",0,ROUND(E110*IF(F110=0.2,0.2,IF(F110=0.05,0.05,0)),2))),0)</f>
        <v>0</v>
      </c>
      <c r="H110" s="28">
        <f t="shared" si="6"/>
        <v>0</v>
      </c>
      <c r="I110" s="24" t="str">
        <f>IF(VAT_Return!B16="Flat Rate Scheme","Not Claimable (FRS)","Claimable")</f>
        <v>Claimable</v>
      </c>
      <c r="J110" s="30" t="str">
        <f t="shared" si="7"/>
        <v/>
      </c>
    </row>
    <row r="111" spans="1:10" ht="16.5" customHeight="1" x14ac:dyDescent="0.25">
      <c r="A111" s="22">
        <v>107</v>
      </c>
      <c r="B111" s="23"/>
      <c r="C111" s="24"/>
      <c r="D111" s="25"/>
      <c r="E111" s="26"/>
      <c r="F111" s="27">
        <v>0.2</v>
      </c>
      <c r="G111" s="28">
        <f>IF(ISNUMBER(E111),IF(VAT_Return!B16="Flat Rate Scheme",IF(I111="Capital Goods FRS",ROUND(E111*IF(F111=0.2,0.2,IF(F111=0.05,0.05,0)),2),0),IF(I111="Not Claimable (FRS)",0,ROUND(E111*IF(F111=0.2,0.2,IF(F111=0.05,0.05,0)),2))),0)</f>
        <v>0</v>
      </c>
      <c r="H111" s="28">
        <f t="shared" si="6"/>
        <v>0</v>
      </c>
      <c r="I111" s="24" t="str">
        <f>IF(VAT_Return!B16="Flat Rate Scheme","Not Claimable (FRS)","Claimable")</f>
        <v>Claimable</v>
      </c>
      <c r="J111" s="29" t="str">
        <f t="shared" si="7"/>
        <v/>
      </c>
    </row>
    <row r="112" spans="1:10" ht="16.5" customHeight="1" x14ac:dyDescent="0.25">
      <c r="A112" s="22">
        <v>108</v>
      </c>
      <c r="B112" s="23"/>
      <c r="C112" s="24"/>
      <c r="D112" s="25"/>
      <c r="E112" s="26"/>
      <c r="F112" s="27">
        <v>0.2</v>
      </c>
      <c r="G112" s="28">
        <f>IF(ISNUMBER(E112),IF(VAT_Return!B16="Flat Rate Scheme",IF(I112="Capital Goods FRS",ROUND(E112*IF(F112=0.2,0.2,IF(F112=0.05,0.05,0)),2),0),IF(I112="Not Claimable (FRS)",0,ROUND(E112*IF(F112=0.2,0.2,IF(F112=0.05,0.05,0)),2))),0)</f>
        <v>0</v>
      </c>
      <c r="H112" s="28">
        <f t="shared" si="6"/>
        <v>0</v>
      </c>
      <c r="I112" s="24" t="str">
        <f>IF(VAT_Return!B16="Flat Rate Scheme","Not Claimable (FRS)","Claimable")</f>
        <v>Claimable</v>
      </c>
      <c r="J112" s="30" t="str">
        <f t="shared" si="7"/>
        <v/>
      </c>
    </row>
    <row r="113" spans="1:10" ht="16.5" customHeight="1" x14ac:dyDescent="0.25">
      <c r="A113" s="22">
        <v>109</v>
      </c>
      <c r="B113" s="23"/>
      <c r="C113" s="24"/>
      <c r="D113" s="25"/>
      <c r="E113" s="26"/>
      <c r="F113" s="27">
        <v>0.2</v>
      </c>
      <c r="G113" s="28">
        <f>IF(ISNUMBER(E113),IF(VAT_Return!B16="Flat Rate Scheme",IF(I113="Capital Goods FRS",ROUND(E113*IF(F113=0.2,0.2,IF(F113=0.05,0.05,0)),2),0),IF(I113="Not Claimable (FRS)",0,ROUND(E113*IF(F113=0.2,0.2,IF(F113=0.05,0.05,0)),2))),0)</f>
        <v>0</v>
      </c>
      <c r="H113" s="28">
        <f t="shared" si="6"/>
        <v>0</v>
      </c>
      <c r="I113" s="24" t="str">
        <f>IF(VAT_Return!B16="Flat Rate Scheme","Not Claimable (FRS)","Claimable")</f>
        <v>Claimable</v>
      </c>
      <c r="J113" s="29" t="str">
        <f t="shared" si="7"/>
        <v/>
      </c>
    </row>
    <row r="114" spans="1:10" ht="16.5" customHeight="1" x14ac:dyDescent="0.25">
      <c r="A114" s="22">
        <v>110</v>
      </c>
      <c r="B114" s="23"/>
      <c r="C114" s="24"/>
      <c r="D114" s="25"/>
      <c r="E114" s="26"/>
      <c r="F114" s="27">
        <v>0.2</v>
      </c>
      <c r="G114" s="28">
        <f>IF(ISNUMBER(E114),IF(VAT_Return!B16="Flat Rate Scheme",IF(I114="Capital Goods FRS",ROUND(E114*IF(F114=0.2,0.2,IF(F114=0.05,0.05,0)),2),0),IF(I114="Not Claimable (FRS)",0,ROUND(E114*IF(F114=0.2,0.2,IF(F114=0.05,0.05,0)),2))),0)</f>
        <v>0</v>
      </c>
      <c r="H114" s="28">
        <f t="shared" si="6"/>
        <v>0</v>
      </c>
      <c r="I114" s="24" t="str">
        <f>IF(VAT_Return!B16="Flat Rate Scheme","Not Claimable (FRS)","Claimable")</f>
        <v>Claimable</v>
      </c>
      <c r="J114" s="30" t="str">
        <f t="shared" si="7"/>
        <v/>
      </c>
    </row>
    <row r="115" spans="1:10" ht="16.5" customHeight="1" x14ac:dyDescent="0.25">
      <c r="A115" s="22">
        <v>111</v>
      </c>
      <c r="B115" s="23"/>
      <c r="C115" s="24"/>
      <c r="D115" s="25"/>
      <c r="E115" s="26"/>
      <c r="F115" s="27">
        <v>0.2</v>
      </c>
      <c r="G115" s="28">
        <f>IF(ISNUMBER(E115),IF(VAT_Return!B16="Flat Rate Scheme",IF(I115="Capital Goods FRS",ROUND(E115*IF(F115=0.2,0.2,IF(F115=0.05,0.05,0)),2),0),IF(I115="Not Claimable (FRS)",0,ROUND(E115*IF(F115=0.2,0.2,IF(F115=0.05,0.05,0)),2))),0)</f>
        <v>0</v>
      </c>
      <c r="H115" s="28">
        <f t="shared" si="6"/>
        <v>0</v>
      </c>
      <c r="I115" s="24" t="str">
        <f>IF(VAT_Return!B16="Flat Rate Scheme","Not Claimable (FRS)","Claimable")</f>
        <v>Claimable</v>
      </c>
      <c r="J115" s="29" t="str">
        <f t="shared" si="7"/>
        <v/>
      </c>
    </row>
    <row r="116" spans="1:10" ht="16.5" customHeight="1" x14ac:dyDescent="0.25">
      <c r="A116" s="22">
        <v>112</v>
      </c>
      <c r="B116" s="23"/>
      <c r="C116" s="24"/>
      <c r="D116" s="25"/>
      <c r="E116" s="26"/>
      <c r="F116" s="27">
        <v>0.2</v>
      </c>
      <c r="G116" s="28">
        <f>IF(ISNUMBER(E116),IF(VAT_Return!B16="Flat Rate Scheme",IF(I116="Capital Goods FRS",ROUND(E116*IF(F116=0.2,0.2,IF(F116=0.05,0.05,0)),2),0),IF(I116="Not Claimable (FRS)",0,ROUND(E116*IF(F116=0.2,0.2,IF(F116=0.05,0.05,0)),2))),0)</f>
        <v>0</v>
      </c>
      <c r="H116" s="28">
        <f t="shared" si="6"/>
        <v>0</v>
      </c>
      <c r="I116" s="24" t="str">
        <f>IF(VAT_Return!B16="Flat Rate Scheme","Not Claimable (FRS)","Claimable")</f>
        <v>Claimable</v>
      </c>
      <c r="J116" s="30" t="str">
        <f t="shared" si="7"/>
        <v/>
      </c>
    </row>
    <row r="117" spans="1:10" ht="16.5" customHeight="1" x14ac:dyDescent="0.25">
      <c r="A117" s="22">
        <v>113</v>
      </c>
      <c r="B117" s="23"/>
      <c r="C117" s="24"/>
      <c r="D117" s="25"/>
      <c r="E117" s="26"/>
      <c r="F117" s="27">
        <v>0.2</v>
      </c>
      <c r="G117" s="28">
        <f>IF(ISNUMBER(E117),IF(VAT_Return!B16="Flat Rate Scheme",IF(I117="Capital Goods FRS",ROUND(E117*IF(F117=0.2,0.2,IF(F117=0.05,0.05,0)),2),0),IF(I117="Not Claimable (FRS)",0,ROUND(E117*IF(F117=0.2,0.2,IF(F117=0.05,0.05,0)),2))),0)</f>
        <v>0</v>
      </c>
      <c r="H117" s="28">
        <f t="shared" si="6"/>
        <v>0</v>
      </c>
      <c r="I117" s="24" t="str">
        <f>IF(VAT_Return!B16="Flat Rate Scheme","Not Claimable (FRS)","Claimable")</f>
        <v>Claimable</v>
      </c>
      <c r="J117" s="29" t="str">
        <f t="shared" si="7"/>
        <v/>
      </c>
    </row>
    <row r="118" spans="1:10" ht="16.5" customHeight="1" x14ac:dyDescent="0.25">
      <c r="A118" s="22">
        <v>114</v>
      </c>
      <c r="B118" s="23"/>
      <c r="C118" s="24"/>
      <c r="D118" s="25"/>
      <c r="E118" s="26"/>
      <c r="F118" s="27">
        <v>0.2</v>
      </c>
      <c r="G118" s="28">
        <f>IF(ISNUMBER(E118),IF(VAT_Return!B16="Flat Rate Scheme",IF(I118="Capital Goods FRS",ROUND(E118*IF(F118=0.2,0.2,IF(F118=0.05,0.05,0)),2),0),IF(I118="Not Claimable (FRS)",0,ROUND(E118*IF(F118=0.2,0.2,IF(F118=0.05,0.05,0)),2))),0)</f>
        <v>0</v>
      </c>
      <c r="H118" s="28">
        <f t="shared" si="6"/>
        <v>0</v>
      </c>
      <c r="I118" s="24" t="str">
        <f>IF(VAT_Return!B16="Flat Rate Scheme","Not Claimable (FRS)","Claimable")</f>
        <v>Claimable</v>
      </c>
      <c r="J118" s="30" t="str">
        <f t="shared" si="7"/>
        <v/>
      </c>
    </row>
    <row r="119" spans="1:10" ht="16.5" customHeight="1" x14ac:dyDescent="0.25">
      <c r="A119" s="22">
        <v>115</v>
      </c>
      <c r="B119" s="23"/>
      <c r="C119" s="24"/>
      <c r="D119" s="25"/>
      <c r="E119" s="26"/>
      <c r="F119" s="27">
        <v>0.2</v>
      </c>
      <c r="G119" s="28">
        <f>IF(ISNUMBER(E119),IF(VAT_Return!B16="Flat Rate Scheme",IF(I119="Capital Goods FRS",ROUND(E119*IF(F119=0.2,0.2,IF(F119=0.05,0.05,0)),2),0),IF(I119="Not Claimable (FRS)",0,ROUND(E119*IF(F119=0.2,0.2,IF(F119=0.05,0.05,0)),2))),0)</f>
        <v>0</v>
      </c>
      <c r="H119" s="28">
        <f t="shared" si="6"/>
        <v>0</v>
      </c>
      <c r="I119" s="24" t="str">
        <f>IF(VAT_Return!B16="Flat Rate Scheme","Not Claimable (FRS)","Claimable")</f>
        <v>Claimable</v>
      </c>
      <c r="J119" s="29" t="str">
        <f t="shared" si="7"/>
        <v/>
      </c>
    </row>
    <row r="120" spans="1:10" ht="16.5" customHeight="1" x14ac:dyDescent="0.25">
      <c r="A120" s="22">
        <v>116</v>
      </c>
      <c r="B120" s="23"/>
      <c r="C120" s="24"/>
      <c r="D120" s="25"/>
      <c r="E120" s="26"/>
      <c r="F120" s="27">
        <v>0.2</v>
      </c>
      <c r="G120" s="28">
        <f>IF(ISNUMBER(E120),IF(VAT_Return!B16="Flat Rate Scheme",IF(I120="Capital Goods FRS",ROUND(E120*IF(F120=0.2,0.2,IF(F120=0.05,0.05,0)),2),0),IF(I120="Not Claimable (FRS)",0,ROUND(E120*IF(F120=0.2,0.2,IF(F120=0.05,0.05,0)),2))),0)</f>
        <v>0</v>
      </c>
      <c r="H120" s="28">
        <f t="shared" si="6"/>
        <v>0</v>
      </c>
      <c r="I120" s="24" t="str">
        <f>IF(VAT_Return!B16="Flat Rate Scheme","Not Claimable (FRS)","Claimable")</f>
        <v>Claimable</v>
      </c>
      <c r="J120" s="30" t="str">
        <f t="shared" si="7"/>
        <v/>
      </c>
    </row>
    <row r="121" spans="1:10" ht="16.5" customHeight="1" x14ac:dyDescent="0.25">
      <c r="A121" s="22">
        <v>117</v>
      </c>
      <c r="B121" s="23"/>
      <c r="C121" s="24"/>
      <c r="D121" s="25"/>
      <c r="E121" s="26"/>
      <c r="F121" s="27">
        <v>0.2</v>
      </c>
      <c r="G121" s="28">
        <f>IF(ISNUMBER(E121),IF(VAT_Return!B16="Flat Rate Scheme",IF(I121="Capital Goods FRS",ROUND(E121*IF(F121=0.2,0.2,IF(F121=0.05,0.05,0)),2),0),IF(I121="Not Claimable (FRS)",0,ROUND(E121*IF(F121=0.2,0.2,IF(F121=0.05,0.05,0)),2))),0)</f>
        <v>0</v>
      </c>
      <c r="H121" s="28">
        <f t="shared" si="6"/>
        <v>0</v>
      </c>
      <c r="I121" s="24" t="str">
        <f>IF(VAT_Return!B16="Flat Rate Scheme","Not Claimable (FRS)","Claimable")</f>
        <v>Claimable</v>
      </c>
      <c r="J121" s="29" t="str">
        <f t="shared" si="7"/>
        <v/>
      </c>
    </row>
    <row r="122" spans="1:10" ht="16.5" customHeight="1" x14ac:dyDescent="0.25">
      <c r="A122" s="22">
        <v>118</v>
      </c>
      <c r="B122" s="23"/>
      <c r="C122" s="24"/>
      <c r="D122" s="25"/>
      <c r="E122" s="26"/>
      <c r="F122" s="27">
        <v>0.2</v>
      </c>
      <c r="G122" s="28">
        <f>IF(ISNUMBER(E122),IF(VAT_Return!B16="Flat Rate Scheme",IF(I122="Capital Goods FRS",ROUND(E122*IF(F122=0.2,0.2,IF(F122=0.05,0.05,0)),2),0),IF(I122="Not Claimable (FRS)",0,ROUND(E122*IF(F122=0.2,0.2,IF(F122=0.05,0.05,0)),2))),0)</f>
        <v>0</v>
      </c>
      <c r="H122" s="28">
        <f t="shared" si="6"/>
        <v>0</v>
      </c>
      <c r="I122" s="24" t="str">
        <f>IF(VAT_Return!B16="Flat Rate Scheme","Not Claimable (FRS)","Claimable")</f>
        <v>Claimable</v>
      </c>
      <c r="J122" s="30" t="str">
        <f t="shared" si="7"/>
        <v/>
      </c>
    </row>
    <row r="123" spans="1:10" ht="16.5" customHeight="1" x14ac:dyDescent="0.25">
      <c r="A123" s="22">
        <v>119</v>
      </c>
      <c r="B123" s="23"/>
      <c r="C123" s="24"/>
      <c r="D123" s="25"/>
      <c r="E123" s="26"/>
      <c r="F123" s="27">
        <v>0.2</v>
      </c>
      <c r="G123" s="28">
        <f>IF(ISNUMBER(E123),IF(VAT_Return!B16="Flat Rate Scheme",IF(I123="Capital Goods FRS",ROUND(E123*IF(F123=0.2,0.2,IF(F123=0.05,0.05,0)),2),0),IF(I123="Not Claimable (FRS)",0,ROUND(E123*IF(F123=0.2,0.2,IF(F123=0.05,0.05,0)),2))),0)</f>
        <v>0</v>
      </c>
      <c r="H123" s="28">
        <f t="shared" si="6"/>
        <v>0</v>
      </c>
      <c r="I123" s="24" t="str">
        <f>IF(VAT_Return!B16="Flat Rate Scheme","Not Claimable (FRS)","Claimable")</f>
        <v>Claimable</v>
      </c>
      <c r="J123" s="29" t="str">
        <f t="shared" si="7"/>
        <v/>
      </c>
    </row>
    <row r="124" spans="1:10" ht="16.5" customHeight="1" x14ac:dyDescent="0.25">
      <c r="A124" s="22">
        <v>120</v>
      </c>
      <c r="B124" s="23"/>
      <c r="C124" s="24"/>
      <c r="D124" s="25"/>
      <c r="E124" s="26"/>
      <c r="F124" s="27">
        <v>0.2</v>
      </c>
      <c r="G124" s="28">
        <f>IF(ISNUMBER(E124),IF(VAT_Return!B16="Flat Rate Scheme",IF(I124="Capital Goods FRS",ROUND(E124*IF(F124=0.2,0.2,IF(F124=0.05,0.05,0)),2),0),IF(I124="Not Claimable (FRS)",0,ROUND(E124*IF(F124=0.2,0.2,IF(F124=0.05,0.05,0)),2))),0)</f>
        <v>0</v>
      </c>
      <c r="H124" s="28">
        <f t="shared" si="6"/>
        <v>0</v>
      </c>
      <c r="I124" s="24" t="str">
        <f>IF(VAT_Return!B16="Flat Rate Scheme","Not Claimable (FRS)","Claimable")</f>
        <v>Claimable</v>
      </c>
      <c r="J124" s="30" t="str">
        <f t="shared" si="7"/>
        <v/>
      </c>
    </row>
    <row r="125" spans="1:10" ht="16.5" customHeight="1" x14ac:dyDescent="0.25">
      <c r="A125" s="22">
        <v>121</v>
      </c>
      <c r="B125" s="23"/>
      <c r="C125" s="24"/>
      <c r="D125" s="25"/>
      <c r="E125" s="26"/>
      <c r="F125" s="27">
        <v>0.2</v>
      </c>
      <c r="G125" s="28">
        <f>IF(ISNUMBER(E125),IF(VAT_Return!B16="Flat Rate Scheme",IF(I125="Capital Goods FRS",ROUND(E125*IF(F125=0.2,0.2,IF(F125=0.05,0.05,0)),2),0),IF(I125="Not Claimable (FRS)",0,ROUND(E125*IF(F125=0.2,0.2,IF(F125=0.05,0.05,0)),2))),0)</f>
        <v>0</v>
      </c>
      <c r="H125" s="28">
        <f t="shared" si="6"/>
        <v>0</v>
      </c>
      <c r="I125" s="24" t="str">
        <f>IF(VAT_Return!B16="Flat Rate Scheme","Not Claimable (FRS)","Claimable")</f>
        <v>Claimable</v>
      </c>
      <c r="J125" s="29" t="str">
        <f t="shared" si="7"/>
        <v/>
      </c>
    </row>
    <row r="126" spans="1:10" ht="16.5" customHeight="1" x14ac:dyDescent="0.25">
      <c r="A126" s="22">
        <v>122</v>
      </c>
      <c r="B126" s="23"/>
      <c r="C126" s="24"/>
      <c r="D126" s="25"/>
      <c r="E126" s="26"/>
      <c r="F126" s="27">
        <v>0.2</v>
      </c>
      <c r="G126" s="28">
        <f>IF(ISNUMBER(E126),IF(VAT_Return!B16="Flat Rate Scheme",IF(I126="Capital Goods FRS",ROUND(E126*IF(F126=0.2,0.2,IF(F126=0.05,0.05,0)),2),0),IF(I126="Not Claimable (FRS)",0,ROUND(E126*IF(F126=0.2,0.2,IF(F126=0.05,0.05,0)),2))),0)</f>
        <v>0</v>
      </c>
      <c r="H126" s="28">
        <f t="shared" si="6"/>
        <v>0</v>
      </c>
      <c r="I126" s="24" t="str">
        <f>IF(VAT_Return!B16="Flat Rate Scheme","Not Claimable (FRS)","Claimable")</f>
        <v>Claimable</v>
      </c>
      <c r="J126" s="30" t="str">
        <f t="shared" si="7"/>
        <v/>
      </c>
    </row>
    <row r="127" spans="1:10" ht="16.5" customHeight="1" x14ac:dyDescent="0.25">
      <c r="A127" s="22">
        <v>123</v>
      </c>
      <c r="B127" s="23"/>
      <c r="C127" s="24"/>
      <c r="D127" s="25"/>
      <c r="E127" s="26"/>
      <c r="F127" s="27">
        <v>0.2</v>
      </c>
      <c r="G127" s="28">
        <f>IF(ISNUMBER(E127),IF(VAT_Return!B16="Flat Rate Scheme",IF(I127="Capital Goods FRS",ROUND(E127*IF(F127=0.2,0.2,IF(F127=0.05,0.05,0)),2),0),IF(I127="Not Claimable (FRS)",0,ROUND(E127*IF(F127=0.2,0.2,IF(F127=0.05,0.05,0)),2))),0)</f>
        <v>0</v>
      </c>
      <c r="H127" s="28">
        <f t="shared" si="6"/>
        <v>0</v>
      </c>
      <c r="I127" s="24" t="str">
        <f>IF(VAT_Return!B16="Flat Rate Scheme","Not Claimable (FRS)","Claimable")</f>
        <v>Claimable</v>
      </c>
      <c r="J127" s="29" t="str">
        <f t="shared" si="7"/>
        <v/>
      </c>
    </row>
    <row r="128" spans="1:10" ht="16.5" customHeight="1" x14ac:dyDescent="0.25">
      <c r="A128" s="22">
        <v>124</v>
      </c>
      <c r="B128" s="23"/>
      <c r="C128" s="24"/>
      <c r="D128" s="25"/>
      <c r="E128" s="26"/>
      <c r="F128" s="27">
        <v>0.2</v>
      </c>
      <c r="G128" s="28">
        <f>IF(ISNUMBER(E128),IF(VAT_Return!B16="Flat Rate Scheme",IF(I128="Capital Goods FRS",ROUND(E128*IF(F128=0.2,0.2,IF(F128=0.05,0.05,0)),2),0),IF(I128="Not Claimable (FRS)",0,ROUND(E128*IF(F128=0.2,0.2,IF(F128=0.05,0.05,0)),2))),0)</f>
        <v>0</v>
      </c>
      <c r="H128" s="28">
        <f t="shared" si="6"/>
        <v>0</v>
      </c>
      <c r="I128" s="24" t="str">
        <f>IF(VAT_Return!B16="Flat Rate Scheme","Not Claimable (FRS)","Claimable")</f>
        <v>Claimable</v>
      </c>
      <c r="J128" s="30" t="str">
        <f t="shared" si="7"/>
        <v/>
      </c>
    </row>
    <row r="129" spans="1:10" ht="16.5" customHeight="1" x14ac:dyDescent="0.25">
      <c r="A129" s="22">
        <v>125</v>
      </c>
      <c r="B129" s="23"/>
      <c r="C129" s="24"/>
      <c r="D129" s="25"/>
      <c r="E129" s="26"/>
      <c r="F129" s="27">
        <v>0.2</v>
      </c>
      <c r="G129" s="28">
        <f>IF(ISNUMBER(E129),IF(VAT_Return!B16="Flat Rate Scheme",IF(I129="Capital Goods FRS",ROUND(E129*IF(F129=0.2,0.2,IF(F129=0.05,0.05,0)),2),0),IF(I129="Not Claimable (FRS)",0,ROUND(E129*IF(F129=0.2,0.2,IF(F129=0.05,0.05,0)),2))),0)</f>
        <v>0</v>
      </c>
      <c r="H129" s="28">
        <f t="shared" si="6"/>
        <v>0</v>
      </c>
      <c r="I129" s="24" t="str">
        <f>IF(VAT_Return!B16="Flat Rate Scheme","Not Claimable (FRS)","Claimable")</f>
        <v>Claimable</v>
      </c>
      <c r="J129" s="29" t="str">
        <f t="shared" si="7"/>
        <v/>
      </c>
    </row>
    <row r="130" spans="1:10" ht="16.5" customHeight="1" x14ac:dyDescent="0.25">
      <c r="A130" s="22">
        <v>126</v>
      </c>
      <c r="B130" s="23"/>
      <c r="C130" s="24"/>
      <c r="D130" s="25"/>
      <c r="E130" s="26"/>
      <c r="F130" s="27">
        <v>0.2</v>
      </c>
      <c r="G130" s="28">
        <f>IF(ISNUMBER(E130),IF(VAT_Return!B16="Flat Rate Scheme",IF(I130="Capital Goods FRS",ROUND(E130*IF(F130=0.2,0.2,IF(F130=0.05,0.05,0)),2),0),IF(I130="Not Claimable (FRS)",0,ROUND(E130*IF(F130=0.2,0.2,IF(F130=0.05,0.05,0)),2))),0)</f>
        <v>0</v>
      </c>
      <c r="H130" s="28">
        <f t="shared" si="6"/>
        <v>0</v>
      </c>
      <c r="I130" s="24" t="str">
        <f>IF(VAT_Return!B16="Flat Rate Scheme","Not Claimable (FRS)","Claimable")</f>
        <v>Claimable</v>
      </c>
      <c r="J130" s="30" t="str">
        <f t="shared" si="7"/>
        <v/>
      </c>
    </row>
    <row r="131" spans="1:10" ht="16.5" customHeight="1" x14ac:dyDescent="0.25">
      <c r="A131" s="22">
        <v>127</v>
      </c>
      <c r="B131" s="23"/>
      <c r="C131" s="24"/>
      <c r="D131" s="25"/>
      <c r="E131" s="26"/>
      <c r="F131" s="27">
        <v>0.2</v>
      </c>
      <c r="G131" s="28">
        <f>IF(ISNUMBER(E131),IF(VAT_Return!B16="Flat Rate Scheme",IF(I131="Capital Goods FRS",ROUND(E131*IF(F131=0.2,0.2,IF(F131=0.05,0.05,0)),2),0),IF(I131="Not Claimable (FRS)",0,ROUND(E131*IF(F131=0.2,0.2,IF(F131=0.05,0.05,0)),2))),0)</f>
        <v>0</v>
      </c>
      <c r="H131" s="28">
        <f t="shared" si="6"/>
        <v>0</v>
      </c>
      <c r="I131" s="24" t="str">
        <f>IF(VAT_Return!B16="Flat Rate Scheme","Not Claimable (FRS)","Claimable")</f>
        <v>Claimable</v>
      </c>
      <c r="J131" s="29" t="str">
        <f t="shared" si="7"/>
        <v/>
      </c>
    </row>
    <row r="132" spans="1:10" ht="16.5" customHeight="1" x14ac:dyDescent="0.25">
      <c r="A132" s="22">
        <v>128</v>
      </c>
      <c r="B132" s="23"/>
      <c r="C132" s="24"/>
      <c r="D132" s="25"/>
      <c r="E132" s="26"/>
      <c r="F132" s="27">
        <v>0.2</v>
      </c>
      <c r="G132" s="28">
        <f>IF(ISNUMBER(E132),IF(VAT_Return!B16="Flat Rate Scheme",IF(I132="Capital Goods FRS",ROUND(E132*IF(F132=0.2,0.2,IF(F132=0.05,0.05,0)),2),0),IF(I132="Not Claimable (FRS)",0,ROUND(E132*IF(F132=0.2,0.2,IF(F132=0.05,0.05,0)),2))),0)</f>
        <v>0</v>
      </c>
      <c r="H132" s="28">
        <f t="shared" si="6"/>
        <v>0</v>
      </c>
      <c r="I132" s="24" t="str">
        <f>IF(VAT_Return!B16="Flat Rate Scheme","Not Claimable (FRS)","Claimable")</f>
        <v>Claimable</v>
      </c>
      <c r="J132" s="30" t="str">
        <f t="shared" si="7"/>
        <v/>
      </c>
    </row>
    <row r="133" spans="1:10" ht="16.5" customHeight="1" x14ac:dyDescent="0.25">
      <c r="A133" s="22">
        <v>129</v>
      </c>
      <c r="B133" s="23"/>
      <c r="C133" s="24"/>
      <c r="D133" s="25"/>
      <c r="E133" s="26"/>
      <c r="F133" s="27">
        <v>0.2</v>
      </c>
      <c r="G133" s="28">
        <f>IF(ISNUMBER(E133),IF(VAT_Return!B16="Flat Rate Scheme",IF(I133="Capital Goods FRS",ROUND(E133*IF(F133=0.2,0.2,IF(F133=0.05,0.05,0)),2),0),IF(I133="Not Claimable (FRS)",0,ROUND(E133*IF(F133=0.2,0.2,IF(F133=0.05,0.05,0)),2))),0)</f>
        <v>0</v>
      </c>
      <c r="H133" s="28">
        <f t="shared" ref="H133:H164" si="8">IF(ISNUMBER(E133),ROUND(E133+G133,2),0)</f>
        <v>0</v>
      </c>
      <c r="I133" s="24" t="str">
        <f>IF(VAT_Return!B16="Flat Rate Scheme","Not Claimable (FRS)","Claimable")</f>
        <v>Claimable</v>
      </c>
      <c r="J133" s="29" t="str">
        <f t="shared" ref="J133:J164" si="9">IF(E133="","",IF(ISNUMBER(E133),IF(E133&gt;0,"✓ OK","⚠ Check Net"),"⚠ Not a number"))</f>
        <v/>
      </c>
    </row>
    <row r="134" spans="1:10" ht="16.5" customHeight="1" x14ac:dyDescent="0.25">
      <c r="A134" s="22">
        <v>130</v>
      </c>
      <c r="B134" s="23"/>
      <c r="C134" s="24"/>
      <c r="D134" s="25"/>
      <c r="E134" s="26"/>
      <c r="F134" s="27">
        <v>0.2</v>
      </c>
      <c r="G134" s="28">
        <f>IF(ISNUMBER(E134),IF(VAT_Return!B16="Flat Rate Scheme",IF(I134="Capital Goods FRS",ROUND(E134*IF(F134=0.2,0.2,IF(F134=0.05,0.05,0)),2),0),IF(I134="Not Claimable (FRS)",0,ROUND(E134*IF(F134=0.2,0.2,IF(F134=0.05,0.05,0)),2))),0)</f>
        <v>0</v>
      </c>
      <c r="H134" s="28">
        <f t="shared" si="8"/>
        <v>0</v>
      </c>
      <c r="I134" s="24" t="str">
        <f>IF(VAT_Return!B16="Flat Rate Scheme","Not Claimable (FRS)","Claimable")</f>
        <v>Claimable</v>
      </c>
      <c r="J134" s="30" t="str">
        <f t="shared" si="9"/>
        <v/>
      </c>
    </row>
    <row r="135" spans="1:10" ht="16.5" customHeight="1" x14ac:dyDescent="0.25">
      <c r="A135" s="22">
        <v>131</v>
      </c>
      <c r="B135" s="23"/>
      <c r="C135" s="24"/>
      <c r="D135" s="25"/>
      <c r="E135" s="26"/>
      <c r="F135" s="27">
        <v>0.2</v>
      </c>
      <c r="G135" s="28">
        <f>IF(ISNUMBER(E135),IF(VAT_Return!B16="Flat Rate Scheme",IF(I135="Capital Goods FRS",ROUND(E135*IF(F135=0.2,0.2,IF(F135=0.05,0.05,0)),2),0),IF(I135="Not Claimable (FRS)",0,ROUND(E135*IF(F135=0.2,0.2,IF(F135=0.05,0.05,0)),2))),0)</f>
        <v>0</v>
      </c>
      <c r="H135" s="28">
        <f t="shared" si="8"/>
        <v>0</v>
      </c>
      <c r="I135" s="24" t="str">
        <f>IF(VAT_Return!B16="Flat Rate Scheme","Not Claimable (FRS)","Claimable")</f>
        <v>Claimable</v>
      </c>
      <c r="J135" s="29" t="str">
        <f t="shared" si="9"/>
        <v/>
      </c>
    </row>
    <row r="136" spans="1:10" ht="16.5" customHeight="1" x14ac:dyDescent="0.25">
      <c r="A136" s="22">
        <v>132</v>
      </c>
      <c r="B136" s="23"/>
      <c r="C136" s="24"/>
      <c r="D136" s="25"/>
      <c r="E136" s="26"/>
      <c r="F136" s="27">
        <v>0.2</v>
      </c>
      <c r="G136" s="28">
        <f>IF(ISNUMBER(E136),IF(VAT_Return!B16="Flat Rate Scheme",IF(I136="Capital Goods FRS",ROUND(E136*IF(F136=0.2,0.2,IF(F136=0.05,0.05,0)),2),0),IF(I136="Not Claimable (FRS)",0,ROUND(E136*IF(F136=0.2,0.2,IF(F136=0.05,0.05,0)),2))),0)</f>
        <v>0</v>
      </c>
      <c r="H136" s="28">
        <f t="shared" si="8"/>
        <v>0</v>
      </c>
      <c r="I136" s="24" t="str">
        <f>IF(VAT_Return!B16="Flat Rate Scheme","Not Claimable (FRS)","Claimable")</f>
        <v>Claimable</v>
      </c>
      <c r="J136" s="30" t="str">
        <f t="shared" si="9"/>
        <v/>
      </c>
    </row>
    <row r="137" spans="1:10" ht="16.5" customHeight="1" x14ac:dyDescent="0.25">
      <c r="A137" s="22">
        <v>133</v>
      </c>
      <c r="B137" s="23"/>
      <c r="C137" s="24"/>
      <c r="D137" s="25"/>
      <c r="E137" s="26"/>
      <c r="F137" s="27">
        <v>0.2</v>
      </c>
      <c r="G137" s="28">
        <f>IF(ISNUMBER(E137),IF(VAT_Return!B16="Flat Rate Scheme",IF(I137="Capital Goods FRS",ROUND(E137*IF(F137=0.2,0.2,IF(F137=0.05,0.05,0)),2),0),IF(I137="Not Claimable (FRS)",0,ROUND(E137*IF(F137=0.2,0.2,IF(F137=0.05,0.05,0)),2))),0)</f>
        <v>0</v>
      </c>
      <c r="H137" s="28">
        <f t="shared" si="8"/>
        <v>0</v>
      </c>
      <c r="I137" s="24" t="str">
        <f>IF(VAT_Return!B16="Flat Rate Scheme","Not Claimable (FRS)","Claimable")</f>
        <v>Claimable</v>
      </c>
      <c r="J137" s="29" t="str">
        <f t="shared" si="9"/>
        <v/>
      </c>
    </row>
    <row r="138" spans="1:10" ht="16.5" customHeight="1" x14ac:dyDescent="0.25">
      <c r="A138" s="22">
        <v>134</v>
      </c>
      <c r="B138" s="23"/>
      <c r="C138" s="24"/>
      <c r="D138" s="25"/>
      <c r="E138" s="26"/>
      <c r="F138" s="27">
        <v>0.2</v>
      </c>
      <c r="G138" s="28">
        <f>IF(ISNUMBER(E138),IF(VAT_Return!B16="Flat Rate Scheme",IF(I138="Capital Goods FRS",ROUND(E138*IF(F138=0.2,0.2,IF(F138=0.05,0.05,0)),2),0),IF(I138="Not Claimable (FRS)",0,ROUND(E138*IF(F138=0.2,0.2,IF(F138=0.05,0.05,0)),2))),0)</f>
        <v>0</v>
      </c>
      <c r="H138" s="28">
        <f t="shared" si="8"/>
        <v>0</v>
      </c>
      <c r="I138" s="24" t="str">
        <f>IF(VAT_Return!B16="Flat Rate Scheme","Not Claimable (FRS)","Claimable")</f>
        <v>Claimable</v>
      </c>
      <c r="J138" s="30" t="str">
        <f t="shared" si="9"/>
        <v/>
      </c>
    </row>
    <row r="139" spans="1:10" ht="16.5" customHeight="1" x14ac:dyDescent="0.25">
      <c r="A139" s="22">
        <v>135</v>
      </c>
      <c r="B139" s="23"/>
      <c r="C139" s="24"/>
      <c r="D139" s="25"/>
      <c r="E139" s="26"/>
      <c r="F139" s="27">
        <v>0.2</v>
      </c>
      <c r="G139" s="28">
        <f>IF(ISNUMBER(E139),IF(VAT_Return!B16="Flat Rate Scheme",IF(I139="Capital Goods FRS",ROUND(E139*IF(F139=0.2,0.2,IF(F139=0.05,0.05,0)),2),0),IF(I139="Not Claimable (FRS)",0,ROUND(E139*IF(F139=0.2,0.2,IF(F139=0.05,0.05,0)),2))),0)</f>
        <v>0</v>
      </c>
      <c r="H139" s="28">
        <f t="shared" si="8"/>
        <v>0</v>
      </c>
      <c r="I139" s="24" t="str">
        <f>IF(VAT_Return!B16="Flat Rate Scheme","Not Claimable (FRS)","Claimable")</f>
        <v>Claimable</v>
      </c>
      <c r="J139" s="29" t="str">
        <f t="shared" si="9"/>
        <v/>
      </c>
    </row>
    <row r="140" spans="1:10" ht="16.5" customHeight="1" x14ac:dyDescent="0.25">
      <c r="A140" s="22">
        <v>136</v>
      </c>
      <c r="B140" s="23"/>
      <c r="C140" s="24"/>
      <c r="D140" s="25"/>
      <c r="E140" s="26"/>
      <c r="F140" s="27">
        <v>0.2</v>
      </c>
      <c r="G140" s="28">
        <f>IF(ISNUMBER(E140),IF(VAT_Return!B16="Flat Rate Scheme",IF(I140="Capital Goods FRS",ROUND(E140*IF(F140=0.2,0.2,IF(F140=0.05,0.05,0)),2),0),IF(I140="Not Claimable (FRS)",0,ROUND(E140*IF(F140=0.2,0.2,IF(F140=0.05,0.05,0)),2))),0)</f>
        <v>0</v>
      </c>
      <c r="H140" s="28">
        <f t="shared" si="8"/>
        <v>0</v>
      </c>
      <c r="I140" s="24" t="str">
        <f>IF(VAT_Return!B16="Flat Rate Scheme","Not Claimable (FRS)","Claimable")</f>
        <v>Claimable</v>
      </c>
      <c r="J140" s="30" t="str">
        <f t="shared" si="9"/>
        <v/>
      </c>
    </row>
    <row r="141" spans="1:10" ht="16.5" customHeight="1" x14ac:dyDescent="0.25">
      <c r="A141" s="22">
        <v>137</v>
      </c>
      <c r="B141" s="23"/>
      <c r="C141" s="24"/>
      <c r="D141" s="25"/>
      <c r="E141" s="26"/>
      <c r="F141" s="27">
        <v>0.2</v>
      </c>
      <c r="G141" s="28">
        <f>IF(ISNUMBER(E141),IF(VAT_Return!B16="Flat Rate Scheme",IF(I141="Capital Goods FRS",ROUND(E141*IF(F141=0.2,0.2,IF(F141=0.05,0.05,0)),2),0),IF(I141="Not Claimable (FRS)",0,ROUND(E141*IF(F141=0.2,0.2,IF(F141=0.05,0.05,0)),2))),0)</f>
        <v>0</v>
      </c>
      <c r="H141" s="28">
        <f t="shared" si="8"/>
        <v>0</v>
      </c>
      <c r="I141" s="24" t="str">
        <f>IF(VAT_Return!B16="Flat Rate Scheme","Not Claimable (FRS)","Claimable")</f>
        <v>Claimable</v>
      </c>
      <c r="J141" s="29" t="str">
        <f t="shared" si="9"/>
        <v/>
      </c>
    </row>
    <row r="142" spans="1:10" ht="16.5" customHeight="1" x14ac:dyDescent="0.25">
      <c r="A142" s="22">
        <v>138</v>
      </c>
      <c r="B142" s="23"/>
      <c r="C142" s="24"/>
      <c r="D142" s="25"/>
      <c r="E142" s="26"/>
      <c r="F142" s="27">
        <v>0.2</v>
      </c>
      <c r="G142" s="28">
        <f>IF(ISNUMBER(E142),IF(VAT_Return!B16="Flat Rate Scheme",IF(I142="Capital Goods FRS",ROUND(E142*IF(F142=0.2,0.2,IF(F142=0.05,0.05,0)),2),0),IF(I142="Not Claimable (FRS)",0,ROUND(E142*IF(F142=0.2,0.2,IF(F142=0.05,0.05,0)),2))),0)</f>
        <v>0</v>
      </c>
      <c r="H142" s="28">
        <f t="shared" si="8"/>
        <v>0</v>
      </c>
      <c r="I142" s="24" t="str">
        <f>IF(VAT_Return!B16="Flat Rate Scheme","Not Claimable (FRS)","Claimable")</f>
        <v>Claimable</v>
      </c>
      <c r="J142" s="30" t="str">
        <f t="shared" si="9"/>
        <v/>
      </c>
    </row>
    <row r="143" spans="1:10" ht="16.5" customHeight="1" x14ac:dyDescent="0.25">
      <c r="A143" s="22">
        <v>139</v>
      </c>
      <c r="B143" s="23"/>
      <c r="C143" s="24"/>
      <c r="D143" s="25"/>
      <c r="E143" s="26"/>
      <c r="F143" s="27">
        <v>0.2</v>
      </c>
      <c r="G143" s="28">
        <f>IF(ISNUMBER(E143),IF(VAT_Return!B16="Flat Rate Scheme",IF(I143="Capital Goods FRS",ROUND(E143*IF(F143=0.2,0.2,IF(F143=0.05,0.05,0)),2),0),IF(I143="Not Claimable (FRS)",0,ROUND(E143*IF(F143=0.2,0.2,IF(F143=0.05,0.05,0)),2))),0)</f>
        <v>0</v>
      </c>
      <c r="H143" s="28">
        <f t="shared" si="8"/>
        <v>0</v>
      </c>
      <c r="I143" s="24" t="str">
        <f>IF(VAT_Return!B16="Flat Rate Scheme","Not Claimable (FRS)","Claimable")</f>
        <v>Claimable</v>
      </c>
      <c r="J143" s="29" t="str">
        <f t="shared" si="9"/>
        <v/>
      </c>
    </row>
    <row r="144" spans="1:10" ht="16.5" customHeight="1" x14ac:dyDescent="0.25">
      <c r="A144" s="22">
        <v>140</v>
      </c>
      <c r="B144" s="23"/>
      <c r="C144" s="24"/>
      <c r="D144" s="25"/>
      <c r="E144" s="26"/>
      <c r="F144" s="27">
        <v>0.2</v>
      </c>
      <c r="G144" s="28">
        <f>IF(ISNUMBER(E144),IF(VAT_Return!B16="Flat Rate Scheme",IF(I144="Capital Goods FRS",ROUND(E144*IF(F144=0.2,0.2,IF(F144=0.05,0.05,0)),2),0),IF(I144="Not Claimable (FRS)",0,ROUND(E144*IF(F144=0.2,0.2,IF(F144=0.05,0.05,0)),2))),0)</f>
        <v>0</v>
      </c>
      <c r="H144" s="28">
        <f t="shared" si="8"/>
        <v>0</v>
      </c>
      <c r="I144" s="24" t="str">
        <f>IF(VAT_Return!B16="Flat Rate Scheme","Not Claimable (FRS)","Claimable")</f>
        <v>Claimable</v>
      </c>
      <c r="J144" s="30" t="str">
        <f t="shared" si="9"/>
        <v/>
      </c>
    </row>
    <row r="145" spans="1:10" ht="16.5" customHeight="1" x14ac:dyDescent="0.25">
      <c r="A145" s="22">
        <v>141</v>
      </c>
      <c r="B145" s="23"/>
      <c r="C145" s="24"/>
      <c r="D145" s="25"/>
      <c r="E145" s="26"/>
      <c r="F145" s="27">
        <v>0.2</v>
      </c>
      <c r="G145" s="28">
        <f>IF(ISNUMBER(E145),IF(VAT_Return!B16="Flat Rate Scheme",IF(I145="Capital Goods FRS",ROUND(E145*IF(F145=0.2,0.2,IF(F145=0.05,0.05,0)),2),0),IF(I145="Not Claimable (FRS)",0,ROUND(E145*IF(F145=0.2,0.2,IF(F145=0.05,0.05,0)),2))),0)</f>
        <v>0</v>
      </c>
      <c r="H145" s="28">
        <f t="shared" si="8"/>
        <v>0</v>
      </c>
      <c r="I145" s="24" t="str">
        <f>IF(VAT_Return!B16="Flat Rate Scheme","Not Claimable (FRS)","Claimable")</f>
        <v>Claimable</v>
      </c>
      <c r="J145" s="29" t="str">
        <f t="shared" si="9"/>
        <v/>
      </c>
    </row>
    <row r="146" spans="1:10" ht="16.5" customHeight="1" x14ac:dyDescent="0.25">
      <c r="A146" s="22">
        <v>142</v>
      </c>
      <c r="B146" s="23"/>
      <c r="C146" s="24"/>
      <c r="D146" s="25"/>
      <c r="E146" s="26"/>
      <c r="F146" s="27">
        <v>0.2</v>
      </c>
      <c r="G146" s="28">
        <f>IF(ISNUMBER(E146),IF(VAT_Return!B16="Flat Rate Scheme",IF(I146="Capital Goods FRS",ROUND(E146*IF(F146=0.2,0.2,IF(F146=0.05,0.05,0)),2),0),IF(I146="Not Claimable (FRS)",0,ROUND(E146*IF(F146=0.2,0.2,IF(F146=0.05,0.05,0)),2))),0)</f>
        <v>0</v>
      </c>
      <c r="H146" s="28">
        <f t="shared" si="8"/>
        <v>0</v>
      </c>
      <c r="I146" s="24" t="str">
        <f>IF(VAT_Return!B16="Flat Rate Scheme","Not Claimable (FRS)","Claimable")</f>
        <v>Claimable</v>
      </c>
      <c r="J146" s="30" t="str">
        <f t="shared" si="9"/>
        <v/>
      </c>
    </row>
    <row r="147" spans="1:10" ht="16.5" customHeight="1" x14ac:dyDescent="0.25">
      <c r="A147" s="22">
        <v>143</v>
      </c>
      <c r="B147" s="23"/>
      <c r="C147" s="24"/>
      <c r="D147" s="25"/>
      <c r="E147" s="26"/>
      <c r="F147" s="27">
        <v>0.2</v>
      </c>
      <c r="G147" s="28">
        <f>IF(ISNUMBER(E147),IF(VAT_Return!B16="Flat Rate Scheme",IF(I147="Capital Goods FRS",ROUND(E147*IF(F147=0.2,0.2,IF(F147=0.05,0.05,0)),2),0),IF(I147="Not Claimable (FRS)",0,ROUND(E147*IF(F147=0.2,0.2,IF(F147=0.05,0.05,0)),2))),0)</f>
        <v>0</v>
      </c>
      <c r="H147" s="28">
        <f t="shared" si="8"/>
        <v>0</v>
      </c>
      <c r="I147" s="24" t="str">
        <f>IF(VAT_Return!B16="Flat Rate Scheme","Not Claimable (FRS)","Claimable")</f>
        <v>Claimable</v>
      </c>
      <c r="J147" s="29" t="str">
        <f t="shared" si="9"/>
        <v/>
      </c>
    </row>
    <row r="148" spans="1:10" ht="16.5" customHeight="1" x14ac:dyDescent="0.25">
      <c r="A148" s="22">
        <v>144</v>
      </c>
      <c r="B148" s="23"/>
      <c r="C148" s="24"/>
      <c r="D148" s="25"/>
      <c r="E148" s="26"/>
      <c r="F148" s="27">
        <v>0.2</v>
      </c>
      <c r="G148" s="28">
        <f>IF(ISNUMBER(E148),IF(VAT_Return!B16="Flat Rate Scheme",IF(I148="Capital Goods FRS",ROUND(E148*IF(F148=0.2,0.2,IF(F148=0.05,0.05,0)),2),0),IF(I148="Not Claimable (FRS)",0,ROUND(E148*IF(F148=0.2,0.2,IF(F148=0.05,0.05,0)),2))),0)</f>
        <v>0</v>
      </c>
      <c r="H148" s="28">
        <f t="shared" si="8"/>
        <v>0</v>
      </c>
      <c r="I148" s="24" t="str">
        <f>IF(VAT_Return!B16="Flat Rate Scheme","Not Claimable (FRS)","Claimable")</f>
        <v>Claimable</v>
      </c>
      <c r="J148" s="30" t="str">
        <f t="shared" si="9"/>
        <v/>
      </c>
    </row>
    <row r="149" spans="1:10" ht="16.5" customHeight="1" x14ac:dyDescent="0.25">
      <c r="A149" s="22">
        <v>145</v>
      </c>
      <c r="B149" s="23"/>
      <c r="C149" s="24"/>
      <c r="D149" s="25"/>
      <c r="E149" s="26"/>
      <c r="F149" s="27">
        <v>0.2</v>
      </c>
      <c r="G149" s="28">
        <f>IF(ISNUMBER(E149),IF(VAT_Return!B16="Flat Rate Scheme",IF(I149="Capital Goods FRS",ROUND(E149*IF(F149=0.2,0.2,IF(F149=0.05,0.05,0)),2),0),IF(I149="Not Claimable (FRS)",0,ROUND(E149*IF(F149=0.2,0.2,IF(F149=0.05,0.05,0)),2))),0)</f>
        <v>0</v>
      </c>
      <c r="H149" s="28">
        <f t="shared" si="8"/>
        <v>0</v>
      </c>
      <c r="I149" s="24" t="str">
        <f>IF(VAT_Return!B16="Flat Rate Scheme","Not Claimable (FRS)","Claimable")</f>
        <v>Claimable</v>
      </c>
      <c r="J149" s="29" t="str">
        <f t="shared" si="9"/>
        <v/>
      </c>
    </row>
    <row r="150" spans="1:10" ht="16.5" customHeight="1" x14ac:dyDescent="0.25">
      <c r="A150" s="22">
        <v>146</v>
      </c>
      <c r="B150" s="23"/>
      <c r="C150" s="24"/>
      <c r="D150" s="25"/>
      <c r="E150" s="26"/>
      <c r="F150" s="27">
        <v>0.2</v>
      </c>
      <c r="G150" s="28">
        <f>IF(ISNUMBER(E150),IF(VAT_Return!B16="Flat Rate Scheme",IF(I150="Capital Goods FRS",ROUND(E150*IF(F150=0.2,0.2,IF(F150=0.05,0.05,0)),2),0),IF(I150="Not Claimable (FRS)",0,ROUND(E150*IF(F150=0.2,0.2,IF(F150=0.05,0.05,0)),2))),0)</f>
        <v>0</v>
      </c>
      <c r="H150" s="28">
        <f t="shared" si="8"/>
        <v>0</v>
      </c>
      <c r="I150" s="24" t="str">
        <f>IF(VAT_Return!B16="Flat Rate Scheme","Not Claimable (FRS)","Claimable")</f>
        <v>Claimable</v>
      </c>
      <c r="J150" s="30" t="str">
        <f t="shared" si="9"/>
        <v/>
      </c>
    </row>
    <row r="151" spans="1:10" ht="16.5" customHeight="1" x14ac:dyDescent="0.25">
      <c r="A151" s="22">
        <v>147</v>
      </c>
      <c r="B151" s="23"/>
      <c r="C151" s="24"/>
      <c r="D151" s="25"/>
      <c r="E151" s="26"/>
      <c r="F151" s="27">
        <v>0.2</v>
      </c>
      <c r="G151" s="28">
        <f>IF(ISNUMBER(E151),IF(VAT_Return!B16="Flat Rate Scheme",IF(I151="Capital Goods FRS",ROUND(E151*IF(F151=0.2,0.2,IF(F151=0.05,0.05,0)),2),0),IF(I151="Not Claimable (FRS)",0,ROUND(E151*IF(F151=0.2,0.2,IF(F151=0.05,0.05,0)),2))),0)</f>
        <v>0</v>
      </c>
      <c r="H151" s="28">
        <f t="shared" si="8"/>
        <v>0</v>
      </c>
      <c r="I151" s="24" t="str">
        <f>IF(VAT_Return!B16="Flat Rate Scheme","Not Claimable (FRS)","Claimable")</f>
        <v>Claimable</v>
      </c>
      <c r="J151" s="29" t="str">
        <f t="shared" si="9"/>
        <v/>
      </c>
    </row>
    <row r="152" spans="1:10" ht="16.5" customHeight="1" x14ac:dyDescent="0.25">
      <c r="A152" s="22">
        <v>148</v>
      </c>
      <c r="B152" s="23"/>
      <c r="C152" s="24"/>
      <c r="D152" s="25"/>
      <c r="E152" s="26"/>
      <c r="F152" s="27">
        <v>0.2</v>
      </c>
      <c r="G152" s="28">
        <f>IF(ISNUMBER(E152),IF(VAT_Return!B16="Flat Rate Scheme",IF(I152="Capital Goods FRS",ROUND(E152*IF(F152=0.2,0.2,IF(F152=0.05,0.05,0)),2),0),IF(I152="Not Claimable (FRS)",0,ROUND(E152*IF(F152=0.2,0.2,IF(F152=0.05,0.05,0)),2))),0)</f>
        <v>0</v>
      </c>
      <c r="H152" s="28">
        <f t="shared" si="8"/>
        <v>0</v>
      </c>
      <c r="I152" s="24" t="str">
        <f>IF(VAT_Return!B16="Flat Rate Scheme","Not Claimable (FRS)","Claimable")</f>
        <v>Claimable</v>
      </c>
      <c r="J152" s="30" t="str">
        <f t="shared" si="9"/>
        <v/>
      </c>
    </row>
    <row r="153" spans="1:10" ht="16.5" customHeight="1" x14ac:dyDescent="0.25">
      <c r="A153" s="22">
        <v>149</v>
      </c>
      <c r="B153" s="23"/>
      <c r="C153" s="24"/>
      <c r="D153" s="25"/>
      <c r="E153" s="26"/>
      <c r="F153" s="27">
        <v>0.2</v>
      </c>
      <c r="G153" s="28">
        <f>IF(ISNUMBER(E153),IF(VAT_Return!B16="Flat Rate Scheme",IF(I153="Capital Goods FRS",ROUND(E153*IF(F153=0.2,0.2,IF(F153=0.05,0.05,0)),2),0),IF(I153="Not Claimable (FRS)",0,ROUND(E153*IF(F153=0.2,0.2,IF(F153=0.05,0.05,0)),2))),0)</f>
        <v>0</v>
      </c>
      <c r="H153" s="28">
        <f t="shared" si="8"/>
        <v>0</v>
      </c>
      <c r="I153" s="24" t="str">
        <f>IF(VAT_Return!B16="Flat Rate Scheme","Not Claimable (FRS)","Claimable")</f>
        <v>Claimable</v>
      </c>
      <c r="J153" s="29" t="str">
        <f t="shared" si="9"/>
        <v/>
      </c>
    </row>
    <row r="154" spans="1:10" ht="16.5" customHeight="1" x14ac:dyDescent="0.25">
      <c r="A154" s="22">
        <v>150</v>
      </c>
      <c r="B154" s="23"/>
      <c r="C154" s="24"/>
      <c r="D154" s="25"/>
      <c r="E154" s="26"/>
      <c r="F154" s="27">
        <v>0.2</v>
      </c>
      <c r="G154" s="28">
        <f>IF(ISNUMBER(E154),IF(VAT_Return!B16="Flat Rate Scheme",IF(I154="Capital Goods FRS",ROUND(E154*IF(F154=0.2,0.2,IF(F154=0.05,0.05,0)),2),0),IF(I154="Not Claimable (FRS)",0,ROUND(E154*IF(F154=0.2,0.2,IF(F154=0.05,0.05,0)),2))),0)</f>
        <v>0</v>
      </c>
      <c r="H154" s="28">
        <f t="shared" si="8"/>
        <v>0</v>
      </c>
      <c r="I154" s="24" t="str">
        <f>IF(VAT_Return!B16="Flat Rate Scheme","Not Claimable (FRS)","Claimable")</f>
        <v>Claimable</v>
      </c>
      <c r="J154" s="30" t="str">
        <f t="shared" si="9"/>
        <v/>
      </c>
    </row>
    <row r="155" spans="1:10" ht="16.5" customHeight="1" x14ac:dyDescent="0.25">
      <c r="A155" s="22">
        <v>151</v>
      </c>
      <c r="B155" s="23"/>
      <c r="C155" s="24"/>
      <c r="D155" s="25"/>
      <c r="E155" s="26"/>
      <c r="F155" s="27">
        <v>0.2</v>
      </c>
      <c r="G155" s="28">
        <f>IF(ISNUMBER(E155),IF(VAT_Return!B16="Flat Rate Scheme",IF(I155="Capital Goods FRS",ROUND(E155*IF(F155=0.2,0.2,IF(F155=0.05,0.05,0)),2),0),IF(I155="Not Claimable (FRS)",0,ROUND(E155*IF(F155=0.2,0.2,IF(F155=0.05,0.05,0)),2))),0)</f>
        <v>0</v>
      </c>
      <c r="H155" s="28">
        <f t="shared" si="8"/>
        <v>0</v>
      </c>
      <c r="I155" s="24" t="str">
        <f>IF(VAT_Return!B16="Flat Rate Scheme","Not Claimable (FRS)","Claimable")</f>
        <v>Claimable</v>
      </c>
      <c r="J155" s="29" t="str">
        <f t="shared" si="9"/>
        <v/>
      </c>
    </row>
    <row r="156" spans="1:10" ht="16.5" customHeight="1" x14ac:dyDescent="0.25">
      <c r="A156" s="22">
        <v>152</v>
      </c>
      <c r="B156" s="23"/>
      <c r="C156" s="24"/>
      <c r="D156" s="25"/>
      <c r="E156" s="26"/>
      <c r="F156" s="27">
        <v>0.2</v>
      </c>
      <c r="G156" s="28">
        <f>IF(ISNUMBER(E156),IF(VAT_Return!B16="Flat Rate Scheme",IF(I156="Capital Goods FRS",ROUND(E156*IF(F156=0.2,0.2,IF(F156=0.05,0.05,0)),2),0),IF(I156="Not Claimable (FRS)",0,ROUND(E156*IF(F156=0.2,0.2,IF(F156=0.05,0.05,0)),2))),0)</f>
        <v>0</v>
      </c>
      <c r="H156" s="28">
        <f t="shared" si="8"/>
        <v>0</v>
      </c>
      <c r="I156" s="24" t="str">
        <f>IF(VAT_Return!B16="Flat Rate Scheme","Not Claimable (FRS)","Claimable")</f>
        <v>Claimable</v>
      </c>
      <c r="J156" s="30" t="str">
        <f t="shared" si="9"/>
        <v/>
      </c>
    </row>
    <row r="157" spans="1:10" ht="16.5" customHeight="1" x14ac:dyDescent="0.25">
      <c r="A157" s="22">
        <v>153</v>
      </c>
      <c r="B157" s="23"/>
      <c r="C157" s="24"/>
      <c r="D157" s="25"/>
      <c r="E157" s="26"/>
      <c r="F157" s="27">
        <v>0.2</v>
      </c>
      <c r="G157" s="28">
        <f>IF(ISNUMBER(E157),IF(VAT_Return!B16="Flat Rate Scheme",IF(I157="Capital Goods FRS",ROUND(E157*IF(F157=0.2,0.2,IF(F157=0.05,0.05,0)),2),0),IF(I157="Not Claimable (FRS)",0,ROUND(E157*IF(F157=0.2,0.2,IF(F157=0.05,0.05,0)),2))),0)</f>
        <v>0</v>
      </c>
      <c r="H157" s="28">
        <f t="shared" si="8"/>
        <v>0</v>
      </c>
      <c r="I157" s="24" t="str">
        <f>IF(VAT_Return!B16="Flat Rate Scheme","Not Claimable (FRS)","Claimable")</f>
        <v>Claimable</v>
      </c>
      <c r="J157" s="29" t="str">
        <f t="shared" si="9"/>
        <v/>
      </c>
    </row>
    <row r="158" spans="1:10" ht="16.5" customHeight="1" x14ac:dyDescent="0.25">
      <c r="A158" s="22">
        <v>154</v>
      </c>
      <c r="B158" s="23"/>
      <c r="C158" s="24"/>
      <c r="D158" s="25"/>
      <c r="E158" s="26"/>
      <c r="F158" s="27">
        <v>0.2</v>
      </c>
      <c r="G158" s="28">
        <f>IF(ISNUMBER(E158),IF(VAT_Return!B16="Flat Rate Scheme",IF(I158="Capital Goods FRS",ROUND(E158*IF(F158=0.2,0.2,IF(F158=0.05,0.05,0)),2),0),IF(I158="Not Claimable (FRS)",0,ROUND(E158*IF(F158=0.2,0.2,IF(F158=0.05,0.05,0)),2))),0)</f>
        <v>0</v>
      </c>
      <c r="H158" s="28">
        <f t="shared" si="8"/>
        <v>0</v>
      </c>
      <c r="I158" s="24" t="str">
        <f>IF(VAT_Return!B16="Flat Rate Scheme","Not Claimable (FRS)","Claimable")</f>
        <v>Claimable</v>
      </c>
      <c r="J158" s="30" t="str">
        <f t="shared" si="9"/>
        <v/>
      </c>
    </row>
    <row r="159" spans="1:10" ht="16.5" customHeight="1" x14ac:dyDescent="0.25">
      <c r="A159" s="22">
        <v>155</v>
      </c>
      <c r="B159" s="23"/>
      <c r="C159" s="24"/>
      <c r="D159" s="25"/>
      <c r="E159" s="26"/>
      <c r="F159" s="27">
        <v>0.2</v>
      </c>
      <c r="G159" s="28">
        <f>IF(ISNUMBER(E159),IF(VAT_Return!B16="Flat Rate Scheme",IF(I159="Capital Goods FRS",ROUND(E159*IF(F159=0.2,0.2,IF(F159=0.05,0.05,0)),2),0),IF(I159="Not Claimable (FRS)",0,ROUND(E159*IF(F159=0.2,0.2,IF(F159=0.05,0.05,0)),2))),0)</f>
        <v>0</v>
      </c>
      <c r="H159" s="28">
        <f t="shared" si="8"/>
        <v>0</v>
      </c>
      <c r="I159" s="24" t="str">
        <f>IF(VAT_Return!B16="Flat Rate Scheme","Not Claimable (FRS)","Claimable")</f>
        <v>Claimable</v>
      </c>
      <c r="J159" s="29" t="str">
        <f t="shared" si="9"/>
        <v/>
      </c>
    </row>
    <row r="160" spans="1:10" ht="16.5" customHeight="1" x14ac:dyDescent="0.25">
      <c r="A160" s="22">
        <v>156</v>
      </c>
      <c r="B160" s="23"/>
      <c r="C160" s="24"/>
      <c r="D160" s="25"/>
      <c r="E160" s="26"/>
      <c r="F160" s="27">
        <v>0.2</v>
      </c>
      <c r="G160" s="28">
        <f>IF(ISNUMBER(E160),IF(VAT_Return!B16="Flat Rate Scheme",IF(I160="Capital Goods FRS",ROUND(E160*IF(F160=0.2,0.2,IF(F160=0.05,0.05,0)),2),0),IF(I160="Not Claimable (FRS)",0,ROUND(E160*IF(F160=0.2,0.2,IF(F160=0.05,0.05,0)),2))),0)</f>
        <v>0</v>
      </c>
      <c r="H160" s="28">
        <f t="shared" si="8"/>
        <v>0</v>
      </c>
      <c r="I160" s="24" t="str">
        <f>IF(VAT_Return!B16="Flat Rate Scheme","Not Claimable (FRS)","Claimable")</f>
        <v>Claimable</v>
      </c>
      <c r="J160" s="30" t="str">
        <f t="shared" si="9"/>
        <v/>
      </c>
    </row>
    <row r="161" spans="1:10" ht="16.5" customHeight="1" x14ac:dyDescent="0.25">
      <c r="A161" s="22">
        <v>157</v>
      </c>
      <c r="B161" s="23"/>
      <c r="C161" s="24"/>
      <c r="D161" s="25"/>
      <c r="E161" s="26"/>
      <c r="F161" s="27">
        <v>0.2</v>
      </c>
      <c r="G161" s="28">
        <f>IF(ISNUMBER(E161),IF(VAT_Return!B16="Flat Rate Scheme",IF(I161="Capital Goods FRS",ROUND(E161*IF(F161=0.2,0.2,IF(F161=0.05,0.05,0)),2),0),IF(I161="Not Claimable (FRS)",0,ROUND(E161*IF(F161=0.2,0.2,IF(F161=0.05,0.05,0)),2))),0)</f>
        <v>0</v>
      </c>
      <c r="H161" s="28">
        <f t="shared" si="8"/>
        <v>0</v>
      </c>
      <c r="I161" s="24" t="str">
        <f>IF(VAT_Return!B16="Flat Rate Scheme","Not Claimable (FRS)","Claimable")</f>
        <v>Claimable</v>
      </c>
      <c r="J161" s="29" t="str">
        <f t="shared" si="9"/>
        <v/>
      </c>
    </row>
    <row r="162" spans="1:10" ht="16.5" customHeight="1" x14ac:dyDescent="0.25">
      <c r="A162" s="22">
        <v>158</v>
      </c>
      <c r="B162" s="23"/>
      <c r="C162" s="24"/>
      <c r="D162" s="25"/>
      <c r="E162" s="26"/>
      <c r="F162" s="27">
        <v>0.2</v>
      </c>
      <c r="G162" s="28">
        <f>IF(ISNUMBER(E162),IF(VAT_Return!B16="Flat Rate Scheme",IF(I162="Capital Goods FRS",ROUND(E162*IF(F162=0.2,0.2,IF(F162=0.05,0.05,0)),2),0),IF(I162="Not Claimable (FRS)",0,ROUND(E162*IF(F162=0.2,0.2,IF(F162=0.05,0.05,0)),2))),0)</f>
        <v>0</v>
      </c>
      <c r="H162" s="28">
        <f t="shared" si="8"/>
        <v>0</v>
      </c>
      <c r="I162" s="24" t="str">
        <f>IF(VAT_Return!B16="Flat Rate Scheme","Not Claimable (FRS)","Claimable")</f>
        <v>Claimable</v>
      </c>
      <c r="J162" s="30" t="str">
        <f t="shared" si="9"/>
        <v/>
      </c>
    </row>
    <row r="163" spans="1:10" ht="16.5" customHeight="1" x14ac:dyDescent="0.25">
      <c r="A163" s="22">
        <v>159</v>
      </c>
      <c r="B163" s="23"/>
      <c r="C163" s="24"/>
      <c r="D163" s="25"/>
      <c r="E163" s="26"/>
      <c r="F163" s="27">
        <v>0.2</v>
      </c>
      <c r="G163" s="28">
        <f>IF(ISNUMBER(E163),IF(VAT_Return!B16="Flat Rate Scheme",IF(I163="Capital Goods FRS",ROUND(E163*IF(F163=0.2,0.2,IF(F163=0.05,0.05,0)),2),0),IF(I163="Not Claimable (FRS)",0,ROUND(E163*IF(F163=0.2,0.2,IF(F163=0.05,0.05,0)),2))),0)</f>
        <v>0</v>
      </c>
      <c r="H163" s="28">
        <f t="shared" si="8"/>
        <v>0</v>
      </c>
      <c r="I163" s="24" t="str">
        <f>IF(VAT_Return!B16="Flat Rate Scheme","Not Claimable (FRS)","Claimable")</f>
        <v>Claimable</v>
      </c>
      <c r="J163" s="29" t="str">
        <f t="shared" si="9"/>
        <v/>
      </c>
    </row>
    <row r="164" spans="1:10" ht="16.5" customHeight="1" x14ac:dyDescent="0.25">
      <c r="A164" s="22">
        <v>160</v>
      </c>
      <c r="B164" s="23"/>
      <c r="C164" s="24"/>
      <c r="D164" s="25"/>
      <c r="E164" s="26"/>
      <c r="F164" s="27">
        <v>0.2</v>
      </c>
      <c r="G164" s="28">
        <f>IF(ISNUMBER(E164),IF(VAT_Return!B16="Flat Rate Scheme",IF(I164="Capital Goods FRS",ROUND(E164*IF(F164=0.2,0.2,IF(F164=0.05,0.05,0)),2),0),IF(I164="Not Claimable (FRS)",0,ROUND(E164*IF(F164=0.2,0.2,IF(F164=0.05,0.05,0)),2))),0)</f>
        <v>0</v>
      </c>
      <c r="H164" s="28">
        <f t="shared" si="8"/>
        <v>0</v>
      </c>
      <c r="I164" s="24" t="str">
        <f>IF(VAT_Return!B16="Flat Rate Scheme","Not Claimable (FRS)","Claimable")</f>
        <v>Claimable</v>
      </c>
      <c r="J164" s="30" t="str">
        <f t="shared" si="9"/>
        <v/>
      </c>
    </row>
    <row r="165" spans="1:10" ht="16.5" customHeight="1" x14ac:dyDescent="0.25">
      <c r="A165" s="22">
        <v>161</v>
      </c>
      <c r="B165" s="23"/>
      <c r="C165" s="24"/>
      <c r="D165" s="25"/>
      <c r="E165" s="26"/>
      <c r="F165" s="27">
        <v>0.2</v>
      </c>
      <c r="G165" s="28">
        <f>IF(ISNUMBER(E165),IF(VAT_Return!B16="Flat Rate Scheme",IF(I165="Capital Goods FRS",ROUND(E165*IF(F165=0.2,0.2,IF(F165=0.05,0.05,0)),2),0),IF(I165="Not Claimable (FRS)",0,ROUND(E165*IF(F165=0.2,0.2,IF(F165=0.05,0.05,0)),2))),0)</f>
        <v>0</v>
      </c>
      <c r="H165" s="28">
        <f t="shared" ref="H165:H196" si="10">IF(ISNUMBER(E165),ROUND(E165+G165,2),0)</f>
        <v>0</v>
      </c>
      <c r="I165" s="24" t="str">
        <f>IF(VAT_Return!B16="Flat Rate Scheme","Not Claimable (FRS)","Claimable")</f>
        <v>Claimable</v>
      </c>
      <c r="J165" s="29" t="str">
        <f t="shared" ref="J165:J196" si="11">IF(E165="","",IF(ISNUMBER(E165),IF(E165&gt;0,"✓ OK","⚠ Check Net"),"⚠ Not a number"))</f>
        <v/>
      </c>
    </row>
    <row r="166" spans="1:10" ht="16.5" customHeight="1" x14ac:dyDescent="0.25">
      <c r="A166" s="22">
        <v>162</v>
      </c>
      <c r="B166" s="23"/>
      <c r="C166" s="24"/>
      <c r="D166" s="25"/>
      <c r="E166" s="26"/>
      <c r="F166" s="27">
        <v>0.2</v>
      </c>
      <c r="G166" s="28">
        <f>IF(ISNUMBER(E166),IF(VAT_Return!B16="Flat Rate Scheme",IF(I166="Capital Goods FRS",ROUND(E166*IF(F166=0.2,0.2,IF(F166=0.05,0.05,0)),2),0),IF(I166="Not Claimable (FRS)",0,ROUND(E166*IF(F166=0.2,0.2,IF(F166=0.05,0.05,0)),2))),0)</f>
        <v>0</v>
      </c>
      <c r="H166" s="28">
        <f t="shared" si="10"/>
        <v>0</v>
      </c>
      <c r="I166" s="24" t="str">
        <f>IF(VAT_Return!B16="Flat Rate Scheme","Not Claimable (FRS)","Claimable")</f>
        <v>Claimable</v>
      </c>
      <c r="J166" s="30" t="str">
        <f t="shared" si="11"/>
        <v/>
      </c>
    </row>
    <row r="167" spans="1:10" ht="16.5" customHeight="1" x14ac:dyDescent="0.25">
      <c r="A167" s="22">
        <v>163</v>
      </c>
      <c r="B167" s="23"/>
      <c r="C167" s="24"/>
      <c r="D167" s="25"/>
      <c r="E167" s="26"/>
      <c r="F167" s="27">
        <v>0.2</v>
      </c>
      <c r="G167" s="28">
        <f>IF(ISNUMBER(E167),IF(VAT_Return!B16="Flat Rate Scheme",IF(I167="Capital Goods FRS",ROUND(E167*IF(F167=0.2,0.2,IF(F167=0.05,0.05,0)),2),0),IF(I167="Not Claimable (FRS)",0,ROUND(E167*IF(F167=0.2,0.2,IF(F167=0.05,0.05,0)),2))),0)</f>
        <v>0</v>
      </c>
      <c r="H167" s="28">
        <f t="shared" si="10"/>
        <v>0</v>
      </c>
      <c r="I167" s="24" t="str">
        <f>IF(VAT_Return!B16="Flat Rate Scheme","Not Claimable (FRS)","Claimable")</f>
        <v>Claimable</v>
      </c>
      <c r="J167" s="29" t="str">
        <f t="shared" si="11"/>
        <v/>
      </c>
    </row>
    <row r="168" spans="1:10" ht="16.5" customHeight="1" x14ac:dyDescent="0.25">
      <c r="A168" s="22">
        <v>164</v>
      </c>
      <c r="B168" s="23"/>
      <c r="C168" s="24"/>
      <c r="D168" s="25"/>
      <c r="E168" s="26"/>
      <c r="F168" s="27">
        <v>0.2</v>
      </c>
      <c r="G168" s="28">
        <f>IF(ISNUMBER(E168),IF(VAT_Return!B16="Flat Rate Scheme",IF(I168="Capital Goods FRS",ROUND(E168*IF(F168=0.2,0.2,IF(F168=0.05,0.05,0)),2),0),IF(I168="Not Claimable (FRS)",0,ROUND(E168*IF(F168=0.2,0.2,IF(F168=0.05,0.05,0)),2))),0)</f>
        <v>0</v>
      </c>
      <c r="H168" s="28">
        <f t="shared" si="10"/>
        <v>0</v>
      </c>
      <c r="I168" s="24" t="str">
        <f>IF(VAT_Return!B16="Flat Rate Scheme","Not Claimable (FRS)","Claimable")</f>
        <v>Claimable</v>
      </c>
      <c r="J168" s="30" t="str">
        <f t="shared" si="11"/>
        <v/>
      </c>
    </row>
    <row r="169" spans="1:10" ht="16.5" customHeight="1" x14ac:dyDescent="0.25">
      <c r="A169" s="22">
        <v>165</v>
      </c>
      <c r="B169" s="23"/>
      <c r="C169" s="24"/>
      <c r="D169" s="25"/>
      <c r="E169" s="26"/>
      <c r="F169" s="27">
        <v>0.2</v>
      </c>
      <c r="G169" s="28">
        <f>IF(ISNUMBER(E169),IF(VAT_Return!B16="Flat Rate Scheme",IF(I169="Capital Goods FRS",ROUND(E169*IF(F169=0.2,0.2,IF(F169=0.05,0.05,0)),2),0),IF(I169="Not Claimable (FRS)",0,ROUND(E169*IF(F169=0.2,0.2,IF(F169=0.05,0.05,0)),2))),0)</f>
        <v>0</v>
      </c>
      <c r="H169" s="28">
        <f t="shared" si="10"/>
        <v>0</v>
      </c>
      <c r="I169" s="24" t="str">
        <f>IF(VAT_Return!B16="Flat Rate Scheme","Not Claimable (FRS)","Claimable")</f>
        <v>Claimable</v>
      </c>
      <c r="J169" s="29" t="str">
        <f t="shared" si="11"/>
        <v/>
      </c>
    </row>
    <row r="170" spans="1:10" ht="16.5" customHeight="1" x14ac:dyDescent="0.25">
      <c r="A170" s="22">
        <v>166</v>
      </c>
      <c r="B170" s="23"/>
      <c r="C170" s="24"/>
      <c r="D170" s="25"/>
      <c r="E170" s="26"/>
      <c r="F170" s="27">
        <v>0.2</v>
      </c>
      <c r="G170" s="28">
        <f>IF(ISNUMBER(E170),IF(VAT_Return!B16="Flat Rate Scheme",IF(I170="Capital Goods FRS",ROUND(E170*IF(F170=0.2,0.2,IF(F170=0.05,0.05,0)),2),0),IF(I170="Not Claimable (FRS)",0,ROUND(E170*IF(F170=0.2,0.2,IF(F170=0.05,0.05,0)),2))),0)</f>
        <v>0</v>
      </c>
      <c r="H170" s="28">
        <f t="shared" si="10"/>
        <v>0</v>
      </c>
      <c r="I170" s="24" t="str">
        <f>IF(VAT_Return!B16="Flat Rate Scheme","Not Claimable (FRS)","Claimable")</f>
        <v>Claimable</v>
      </c>
      <c r="J170" s="30" t="str">
        <f t="shared" si="11"/>
        <v/>
      </c>
    </row>
    <row r="171" spans="1:10" ht="16.5" customHeight="1" x14ac:dyDescent="0.25">
      <c r="A171" s="22">
        <v>167</v>
      </c>
      <c r="B171" s="23"/>
      <c r="C171" s="24"/>
      <c r="D171" s="25"/>
      <c r="E171" s="26"/>
      <c r="F171" s="27">
        <v>0.2</v>
      </c>
      <c r="G171" s="28">
        <f>IF(ISNUMBER(E171),IF(VAT_Return!B16="Flat Rate Scheme",IF(I171="Capital Goods FRS",ROUND(E171*IF(F171=0.2,0.2,IF(F171=0.05,0.05,0)),2),0),IF(I171="Not Claimable (FRS)",0,ROUND(E171*IF(F171=0.2,0.2,IF(F171=0.05,0.05,0)),2))),0)</f>
        <v>0</v>
      </c>
      <c r="H171" s="28">
        <f t="shared" si="10"/>
        <v>0</v>
      </c>
      <c r="I171" s="24" t="str">
        <f>IF(VAT_Return!B16="Flat Rate Scheme","Not Claimable (FRS)","Claimable")</f>
        <v>Claimable</v>
      </c>
      <c r="J171" s="29" t="str">
        <f t="shared" si="11"/>
        <v/>
      </c>
    </row>
    <row r="172" spans="1:10" ht="16.5" customHeight="1" x14ac:dyDescent="0.25">
      <c r="A172" s="22">
        <v>168</v>
      </c>
      <c r="B172" s="23"/>
      <c r="C172" s="24"/>
      <c r="D172" s="25"/>
      <c r="E172" s="26"/>
      <c r="F172" s="27">
        <v>0.2</v>
      </c>
      <c r="G172" s="28">
        <f>IF(ISNUMBER(E172),IF(VAT_Return!B16="Flat Rate Scheme",IF(I172="Capital Goods FRS",ROUND(E172*IF(F172=0.2,0.2,IF(F172=0.05,0.05,0)),2),0),IF(I172="Not Claimable (FRS)",0,ROUND(E172*IF(F172=0.2,0.2,IF(F172=0.05,0.05,0)),2))),0)</f>
        <v>0</v>
      </c>
      <c r="H172" s="28">
        <f t="shared" si="10"/>
        <v>0</v>
      </c>
      <c r="I172" s="24" t="str">
        <f>IF(VAT_Return!B16="Flat Rate Scheme","Not Claimable (FRS)","Claimable")</f>
        <v>Claimable</v>
      </c>
      <c r="J172" s="30" t="str">
        <f t="shared" si="11"/>
        <v/>
      </c>
    </row>
    <row r="173" spans="1:10" ht="16.5" customHeight="1" x14ac:dyDescent="0.25">
      <c r="A173" s="22">
        <v>169</v>
      </c>
      <c r="B173" s="23"/>
      <c r="C173" s="24"/>
      <c r="D173" s="25"/>
      <c r="E173" s="26"/>
      <c r="F173" s="27">
        <v>0.2</v>
      </c>
      <c r="G173" s="28">
        <f>IF(ISNUMBER(E173),IF(VAT_Return!B16="Flat Rate Scheme",IF(I173="Capital Goods FRS",ROUND(E173*IF(F173=0.2,0.2,IF(F173=0.05,0.05,0)),2),0),IF(I173="Not Claimable (FRS)",0,ROUND(E173*IF(F173=0.2,0.2,IF(F173=0.05,0.05,0)),2))),0)</f>
        <v>0</v>
      </c>
      <c r="H173" s="28">
        <f t="shared" si="10"/>
        <v>0</v>
      </c>
      <c r="I173" s="24" t="str">
        <f>IF(VAT_Return!B16="Flat Rate Scheme","Not Claimable (FRS)","Claimable")</f>
        <v>Claimable</v>
      </c>
      <c r="J173" s="29" t="str">
        <f t="shared" si="11"/>
        <v/>
      </c>
    </row>
    <row r="174" spans="1:10" ht="16.5" customHeight="1" x14ac:dyDescent="0.25">
      <c r="A174" s="22">
        <v>170</v>
      </c>
      <c r="B174" s="23"/>
      <c r="C174" s="24"/>
      <c r="D174" s="25"/>
      <c r="E174" s="26"/>
      <c r="F174" s="27">
        <v>0.2</v>
      </c>
      <c r="G174" s="28">
        <f>IF(ISNUMBER(E174),IF(VAT_Return!B16="Flat Rate Scheme",IF(I174="Capital Goods FRS",ROUND(E174*IF(F174=0.2,0.2,IF(F174=0.05,0.05,0)),2),0),IF(I174="Not Claimable (FRS)",0,ROUND(E174*IF(F174=0.2,0.2,IF(F174=0.05,0.05,0)),2))),0)</f>
        <v>0</v>
      </c>
      <c r="H174" s="28">
        <f t="shared" si="10"/>
        <v>0</v>
      </c>
      <c r="I174" s="24" t="str">
        <f>IF(VAT_Return!B16="Flat Rate Scheme","Not Claimable (FRS)","Claimable")</f>
        <v>Claimable</v>
      </c>
      <c r="J174" s="30" t="str">
        <f t="shared" si="11"/>
        <v/>
      </c>
    </row>
    <row r="175" spans="1:10" ht="16.5" customHeight="1" x14ac:dyDescent="0.25">
      <c r="A175" s="22">
        <v>171</v>
      </c>
      <c r="B175" s="23"/>
      <c r="C175" s="24"/>
      <c r="D175" s="25"/>
      <c r="E175" s="26"/>
      <c r="F175" s="27">
        <v>0.2</v>
      </c>
      <c r="G175" s="28">
        <f>IF(ISNUMBER(E175),IF(VAT_Return!B16="Flat Rate Scheme",IF(I175="Capital Goods FRS",ROUND(E175*IF(F175=0.2,0.2,IF(F175=0.05,0.05,0)),2),0),IF(I175="Not Claimable (FRS)",0,ROUND(E175*IF(F175=0.2,0.2,IF(F175=0.05,0.05,0)),2))),0)</f>
        <v>0</v>
      </c>
      <c r="H175" s="28">
        <f t="shared" si="10"/>
        <v>0</v>
      </c>
      <c r="I175" s="24" t="str">
        <f>IF(VAT_Return!B16="Flat Rate Scheme","Not Claimable (FRS)","Claimable")</f>
        <v>Claimable</v>
      </c>
      <c r="J175" s="29" t="str">
        <f t="shared" si="11"/>
        <v/>
      </c>
    </row>
    <row r="176" spans="1:10" ht="16.5" customHeight="1" x14ac:dyDescent="0.25">
      <c r="A176" s="22">
        <v>172</v>
      </c>
      <c r="B176" s="23"/>
      <c r="C176" s="24"/>
      <c r="D176" s="25"/>
      <c r="E176" s="26"/>
      <c r="F176" s="27">
        <v>0.2</v>
      </c>
      <c r="G176" s="28">
        <f>IF(ISNUMBER(E176),IF(VAT_Return!B16="Flat Rate Scheme",IF(I176="Capital Goods FRS",ROUND(E176*IF(F176=0.2,0.2,IF(F176=0.05,0.05,0)),2),0),IF(I176="Not Claimable (FRS)",0,ROUND(E176*IF(F176=0.2,0.2,IF(F176=0.05,0.05,0)),2))),0)</f>
        <v>0</v>
      </c>
      <c r="H176" s="28">
        <f t="shared" si="10"/>
        <v>0</v>
      </c>
      <c r="I176" s="24" t="str">
        <f>IF(VAT_Return!B16="Flat Rate Scheme","Not Claimable (FRS)","Claimable")</f>
        <v>Claimable</v>
      </c>
      <c r="J176" s="30" t="str">
        <f t="shared" si="11"/>
        <v/>
      </c>
    </row>
    <row r="177" spans="1:10" ht="16.5" customHeight="1" x14ac:dyDescent="0.25">
      <c r="A177" s="22">
        <v>173</v>
      </c>
      <c r="B177" s="23"/>
      <c r="C177" s="24"/>
      <c r="D177" s="25"/>
      <c r="E177" s="26"/>
      <c r="F177" s="27">
        <v>0.2</v>
      </c>
      <c r="G177" s="28">
        <f>IF(ISNUMBER(E177),IF(VAT_Return!B16="Flat Rate Scheme",IF(I177="Capital Goods FRS",ROUND(E177*IF(F177=0.2,0.2,IF(F177=0.05,0.05,0)),2),0),IF(I177="Not Claimable (FRS)",0,ROUND(E177*IF(F177=0.2,0.2,IF(F177=0.05,0.05,0)),2))),0)</f>
        <v>0</v>
      </c>
      <c r="H177" s="28">
        <f t="shared" si="10"/>
        <v>0</v>
      </c>
      <c r="I177" s="24" t="str">
        <f>IF(VAT_Return!B16="Flat Rate Scheme","Not Claimable (FRS)","Claimable")</f>
        <v>Claimable</v>
      </c>
      <c r="J177" s="29" t="str">
        <f t="shared" si="11"/>
        <v/>
      </c>
    </row>
    <row r="178" spans="1:10" ht="16.5" customHeight="1" x14ac:dyDescent="0.25">
      <c r="A178" s="22">
        <v>174</v>
      </c>
      <c r="B178" s="23"/>
      <c r="C178" s="24"/>
      <c r="D178" s="25"/>
      <c r="E178" s="26"/>
      <c r="F178" s="27">
        <v>0.2</v>
      </c>
      <c r="G178" s="28">
        <f>IF(ISNUMBER(E178),IF(VAT_Return!B16="Flat Rate Scheme",IF(I178="Capital Goods FRS",ROUND(E178*IF(F178=0.2,0.2,IF(F178=0.05,0.05,0)),2),0),IF(I178="Not Claimable (FRS)",0,ROUND(E178*IF(F178=0.2,0.2,IF(F178=0.05,0.05,0)),2))),0)</f>
        <v>0</v>
      </c>
      <c r="H178" s="28">
        <f t="shared" si="10"/>
        <v>0</v>
      </c>
      <c r="I178" s="24" t="str">
        <f>IF(VAT_Return!B16="Flat Rate Scheme","Not Claimable (FRS)","Claimable")</f>
        <v>Claimable</v>
      </c>
      <c r="J178" s="30" t="str">
        <f t="shared" si="11"/>
        <v/>
      </c>
    </row>
    <row r="179" spans="1:10" ht="16.5" customHeight="1" x14ac:dyDescent="0.25">
      <c r="A179" s="22">
        <v>175</v>
      </c>
      <c r="B179" s="23"/>
      <c r="C179" s="24"/>
      <c r="D179" s="25"/>
      <c r="E179" s="26"/>
      <c r="F179" s="27">
        <v>0.2</v>
      </c>
      <c r="G179" s="28">
        <f>IF(ISNUMBER(E179),IF(VAT_Return!B16="Flat Rate Scheme",IF(I179="Capital Goods FRS",ROUND(E179*IF(F179=0.2,0.2,IF(F179=0.05,0.05,0)),2),0),IF(I179="Not Claimable (FRS)",0,ROUND(E179*IF(F179=0.2,0.2,IF(F179=0.05,0.05,0)),2))),0)</f>
        <v>0</v>
      </c>
      <c r="H179" s="28">
        <f t="shared" si="10"/>
        <v>0</v>
      </c>
      <c r="I179" s="24" t="str">
        <f>IF(VAT_Return!B16="Flat Rate Scheme","Not Claimable (FRS)","Claimable")</f>
        <v>Claimable</v>
      </c>
      <c r="J179" s="29" t="str">
        <f t="shared" si="11"/>
        <v/>
      </c>
    </row>
    <row r="180" spans="1:10" ht="16.5" customHeight="1" x14ac:dyDescent="0.25">
      <c r="A180" s="22">
        <v>176</v>
      </c>
      <c r="B180" s="23"/>
      <c r="C180" s="24"/>
      <c r="D180" s="25"/>
      <c r="E180" s="26"/>
      <c r="F180" s="27">
        <v>0.2</v>
      </c>
      <c r="G180" s="28">
        <f>IF(ISNUMBER(E180),IF(VAT_Return!B16="Flat Rate Scheme",IF(I180="Capital Goods FRS",ROUND(E180*IF(F180=0.2,0.2,IF(F180=0.05,0.05,0)),2),0),IF(I180="Not Claimable (FRS)",0,ROUND(E180*IF(F180=0.2,0.2,IF(F180=0.05,0.05,0)),2))),0)</f>
        <v>0</v>
      </c>
      <c r="H180" s="28">
        <f t="shared" si="10"/>
        <v>0</v>
      </c>
      <c r="I180" s="24" t="str">
        <f>IF(VAT_Return!B16="Flat Rate Scheme","Not Claimable (FRS)","Claimable")</f>
        <v>Claimable</v>
      </c>
      <c r="J180" s="30" t="str">
        <f t="shared" si="11"/>
        <v/>
      </c>
    </row>
    <row r="181" spans="1:10" ht="16.5" customHeight="1" x14ac:dyDescent="0.25">
      <c r="A181" s="22">
        <v>177</v>
      </c>
      <c r="B181" s="23"/>
      <c r="C181" s="24"/>
      <c r="D181" s="25"/>
      <c r="E181" s="26"/>
      <c r="F181" s="27">
        <v>0.2</v>
      </c>
      <c r="G181" s="28">
        <f>IF(ISNUMBER(E181),IF(VAT_Return!B16="Flat Rate Scheme",IF(I181="Capital Goods FRS",ROUND(E181*IF(F181=0.2,0.2,IF(F181=0.05,0.05,0)),2),0),IF(I181="Not Claimable (FRS)",0,ROUND(E181*IF(F181=0.2,0.2,IF(F181=0.05,0.05,0)),2))),0)</f>
        <v>0</v>
      </c>
      <c r="H181" s="28">
        <f t="shared" si="10"/>
        <v>0</v>
      </c>
      <c r="I181" s="24" t="str">
        <f>IF(VAT_Return!B16="Flat Rate Scheme","Not Claimable (FRS)","Claimable")</f>
        <v>Claimable</v>
      </c>
      <c r="J181" s="29" t="str">
        <f t="shared" si="11"/>
        <v/>
      </c>
    </row>
    <row r="182" spans="1:10" ht="16.5" customHeight="1" x14ac:dyDescent="0.25">
      <c r="A182" s="22">
        <v>178</v>
      </c>
      <c r="B182" s="23"/>
      <c r="C182" s="24"/>
      <c r="D182" s="25"/>
      <c r="E182" s="26"/>
      <c r="F182" s="27">
        <v>0.2</v>
      </c>
      <c r="G182" s="28">
        <f>IF(ISNUMBER(E182),IF(VAT_Return!B16="Flat Rate Scheme",IF(I182="Capital Goods FRS",ROUND(E182*IF(F182=0.2,0.2,IF(F182=0.05,0.05,0)),2),0),IF(I182="Not Claimable (FRS)",0,ROUND(E182*IF(F182=0.2,0.2,IF(F182=0.05,0.05,0)),2))),0)</f>
        <v>0</v>
      </c>
      <c r="H182" s="28">
        <f t="shared" si="10"/>
        <v>0</v>
      </c>
      <c r="I182" s="24" t="str">
        <f>IF(VAT_Return!B16="Flat Rate Scheme","Not Claimable (FRS)","Claimable")</f>
        <v>Claimable</v>
      </c>
      <c r="J182" s="30" t="str">
        <f t="shared" si="11"/>
        <v/>
      </c>
    </row>
    <row r="183" spans="1:10" ht="16.5" customHeight="1" x14ac:dyDescent="0.25">
      <c r="A183" s="22">
        <v>179</v>
      </c>
      <c r="B183" s="23"/>
      <c r="C183" s="24"/>
      <c r="D183" s="25"/>
      <c r="E183" s="26"/>
      <c r="F183" s="27">
        <v>0.2</v>
      </c>
      <c r="G183" s="28">
        <f>IF(ISNUMBER(E183),IF(VAT_Return!B16="Flat Rate Scheme",IF(I183="Capital Goods FRS",ROUND(E183*IF(F183=0.2,0.2,IF(F183=0.05,0.05,0)),2),0),IF(I183="Not Claimable (FRS)",0,ROUND(E183*IF(F183=0.2,0.2,IF(F183=0.05,0.05,0)),2))),0)</f>
        <v>0</v>
      </c>
      <c r="H183" s="28">
        <f t="shared" si="10"/>
        <v>0</v>
      </c>
      <c r="I183" s="24" t="str">
        <f>IF(VAT_Return!B16="Flat Rate Scheme","Not Claimable (FRS)","Claimable")</f>
        <v>Claimable</v>
      </c>
      <c r="J183" s="29" t="str">
        <f t="shared" si="11"/>
        <v/>
      </c>
    </row>
    <row r="184" spans="1:10" ht="16.5" customHeight="1" x14ac:dyDescent="0.25">
      <c r="A184" s="22">
        <v>180</v>
      </c>
      <c r="B184" s="23"/>
      <c r="C184" s="24"/>
      <c r="D184" s="25"/>
      <c r="E184" s="26"/>
      <c r="F184" s="27">
        <v>0.2</v>
      </c>
      <c r="G184" s="28">
        <f>IF(ISNUMBER(E184),IF(VAT_Return!B16="Flat Rate Scheme",IF(I184="Capital Goods FRS",ROUND(E184*IF(F184=0.2,0.2,IF(F184=0.05,0.05,0)),2),0),IF(I184="Not Claimable (FRS)",0,ROUND(E184*IF(F184=0.2,0.2,IF(F184=0.05,0.05,0)),2))),0)</f>
        <v>0</v>
      </c>
      <c r="H184" s="28">
        <f t="shared" si="10"/>
        <v>0</v>
      </c>
      <c r="I184" s="24" t="str">
        <f>IF(VAT_Return!B16="Flat Rate Scheme","Not Claimable (FRS)","Claimable")</f>
        <v>Claimable</v>
      </c>
      <c r="J184" s="30" t="str">
        <f t="shared" si="11"/>
        <v/>
      </c>
    </row>
    <row r="185" spans="1:10" ht="16.5" customHeight="1" x14ac:dyDescent="0.25">
      <c r="A185" s="22">
        <v>181</v>
      </c>
      <c r="B185" s="23"/>
      <c r="C185" s="24"/>
      <c r="D185" s="25"/>
      <c r="E185" s="26"/>
      <c r="F185" s="27">
        <v>0.2</v>
      </c>
      <c r="G185" s="28">
        <f>IF(ISNUMBER(E185),IF(VAT_Return!B16="Flat Rate Scheme",IF(I185="Capital Goods FRS",ROUND(E185*IF(F185=0.2,0.2,IF(F185=0.05,0.05,0)),2),0),IF(I185="Not Claimable (FRS)",0,ROUND(E185*IF(F185=0.2,0.2,IF(F185=0.05,0.05,0)),2))),0)</f>
        <v>0</v>
      </c>
      <c r="H185" s="28">
        <f t="shared" si="10"/>
        <v>0</v>
      </c>
      <c r="I185" s="24" t="str">
        <f>IF(VAT_Return!B16="Flat Rate Scheme","Not Claimable (FRS)","Claimable")</f>
        <v>Claimable</v>
      </c>
      <c r="J185" s="29" t="str">
        <f t="shared" si="11"/>
        <v/>
      </c>
    </row>
    <row r="186" spans="1:10" ht="16.5" customHeight="1" x14ac:dyDescent="0.25">
      <c r="A186" s="22">
        <v>182</v>
      </c>
      <c r="B186" s="23"/>
      <c r="C186" s="24"/>
      <c r="D186" s="25"/>
      <c r="E186" s="26"/>
      <c r="F186" s="27">
        <v>0.2</v>
      </c>
      <c r="G186" s="28">
        <f>IF(ISNUMBER(E186),IF(VAT_Return!B16="Flat Rate Scheme",IF(I186="Capital Goods FRS",ROUND(E186*IF(F186=0.2,0.2,IF(F186=0.05,0.05,0)),2),0),IF(I186="Not Claimable (FRS)",0,ROUND(E186*IF(F186=0.2,0.2,IF(F186=0.05,0.05,0)),2))),0)</f>
        <v>0</v>
      </c>
      <c r="H186" s="28">
        <f t="shared" si="10"/>
        <v>0</v>
      </c>
      <c r="I186" s="24" t="str">
        <f>IF(VAT_Return!B16="Flat Rate Scheme","Not Claimable (FRS)","Claimable")</f>
        <v>Claimable</v>
      </c>
      <c r="J186" s="30" t="str">
        <f t="shared" si="11"/>
        <v/>
      </c>
    </row>
    <row r="187" spans="1:10" ht="16.5" customHeight="1" x14ac:dyDescent="0.25">
      <c r="A187" s="22">
        <v>183</v>
      </c>
      <c r="B187" s="23"/>
      <c r="C187" s="24"/>
      <c r="D187" s="25"/>
      <c r="E187" s="26"/>
      <c r="F187" s="27">
        <v>0.2</v>
      </c>
      <c r="G187" s="28">
        <f>IF(ISNUMBER(E187),IF(VAT_Return!B16="Flat Rate Scheme",IF(I187="Capital Goods FRS",ROUND(E187*IF(F187=0.2,0.2,IF(F187=0.05,0.05,0)),2),0),IF(I187="Not Claimable (FRS)",0,ROUND(E187*IF(F187=0.2,0.2,IF(F187=0.05,0.05,0)),2))),0)</f>
        <v>0</v>
      </c>
      <c r="H187" s="28">
        <f t="shared" si="10"/>
        <v>0</v>
      </c>
      <c r="I187" s="24" t="str">
        <f>IF(VAT_Return!B16="Flat Rate Scheme","Not Claimable (FRS)","Claimable")</f>
        <v>Claimable</v>
      </c>
      <c r="J187" s="29" t="str">
        <f t="shared" si="11"/>
        <v/>
      </c>
    </row>
    <row r="188" spans="1:10" ht="16.5" customHeight="1" x14ac:dyDescent="0.25">
      <c r="A188" s="22">
        <v>184</v>
      </c>
      <c r="B188" s="23"/>
      <c r="C188" s="24"/>
      <c r="D188" s="25"/>
      <c r="E188" s="26"/>
      <c r="F188" s="27">
        <v>0.2</v>
      </c>
      <c r="G188" s="28">
        <f>IF(ISNUMBER(E188),IF(VAT_Return!B16="Flat Rate Scheme",IF(I188="Capital Goods FRS",ROUND(E188*IF(F188=0.2,0.2,IF(F188=0.05,0.05,0)),2),0),IF(I188="Not Claimable (FRS)",0,ROUND(E188*IF(F188=0.2,0.2,IF(F188=0.05,0.05,0)),2))),0)</f>
        <v>0</v>
      </c>
      <c r="H188" s="28">
        <f t="shared" si="10"/>
        <v>0</v>
      </c>
      <c r="I188" s="24" t="str">
        <f>IF(VAT_Return!B16="Flat Rate Scheme","Not Claimable (FRS)","Claimable")</f>
        <v>Claimable</v>
      </c>
      <c r="J188" s="30" t="str">
        <f t="shared" si="11"/>
        <v/>
      </c>
    </row>
    <row r="189" spans="1:10" ht="16.5" customHeight="1" x14ac:dyDescent="0.25">
      <c r="A189" s="22">
        <v>185</v>
      </c>
      <c r="B189" s="23"/>
      <c r="C189" s="24"/>
      <c r="D189" s="25"/>
      <c r="E189" s="26"/>
      <c r="F189" s="27">
        <v>0.2</v>
      </c>
      <c r="G189" s="28">
        <f>IF(ISNUMBER(E189),IF(VAT_Return!B16="Flat Rate Scheme",IF(I189="Capital Goods FRS",ROUND(E189*IF(F189=0.2,0.2,IF(F189=0.05,0.05,0)),2),0),IF(I189="Not Claimable (FRS)",0,ROUND(E189*IF(F189=0.2,0.2,IF(F189=0.05,0.05,0)),2))),0)</f>
        <v>0</v>
      </c>
      <c r="H189" s="28">
        <f t="shared" si="10"/>
        <v>0</v>
      </c>
      <c r="I189" s="24" t="str">
        <f>IF(VAT_Return!B16="Flat Rate Scheme","Not Claimable (FRS)","Claimable")</f>
        <v>Claimable</v>
      </c>
      <c r="J189" s="29" t="str">
        <f t="shared" si="11"/>
        <v/>
      </c>
    </row>
    <row r="190" spans="1:10" ht="16.5" customHeight="1" x14ac:dyDescent="0.25">
      <c r="A190" s="22">
        <v>186</v>
      </c>
      <c r="B190" s="23"/>
      <c r="C190" s="24"/>
      <c r="D190" s="25"/>
      <c r="E190" s="26"/>
      <c r="F190" s="27">
        <v>0.2</v>
      </c>
      <c r="G190" s="28">
        <f>IF(ISNUMBER(E190),IF(VAT_Return!B16="Flat Rate Scheme",IF(I190="Capital Goods FRS",ROUND(E190*IF(F190=0.2,0.2,IF(F190=0.05,0.05,0)),2),0),IF(I190="Not Claimable (FRS)",0,ROUND(E190*IF(F190=0.2,0.2,IF(F190=0.05,0.05,0)),2))),0)</f>
        <v>0</v>
      </c>
      <c r="H190" s="28">
        <f t="shared" si="10"/>
        <v>0</v>
      </c>
      <c r="I190" s="24" t="str">
        <f>IF(VAT_Return!B16="Flat Rate Scheme","Not Claimable (FRS)","Claimable")</f>
        <v>Claimable</v>
      </c>
      <c r="J190" s="30" t="str">
        <f t="shared" si="11"/>
        <v/>
      </c>
    </row>
    <row r="191" spans="1:10" ht="16.5" customHeight="1" x14ac:dyDescent="0.25">
      <c r="A191" s="22">
        <v>187</v>
      </c>
      <c r="B191" s="23"/>
      <c r="C191" s="24"/>
      <c r="D191" s="25"/>
      <c r="E191" s="26"/>
      <c r="F191" s="27">
        <v>0.2</v>
      </c>
      <c r="G191" s="28">
        <f>IF(ISNUMBER(E191),IF(VAT_Return!B16="Flat Rate Scheme",IF(I191="Capital Goods FRS",ROUND(E191*IF(F191=0.2,0.2,IF(F191=0.05,0.05,0)),2),0),IF(I191="Not Claimable (FRS)",0,ROUND(E191*IF(F191=0.2,0.2,IF(F191=0.05,0.05,0)),2))),0)</f>
        <v>0</v>
      </c>
      <c r="H191" s="28">
        <f t="shared" si="10"/>
        <v>0</v>
      </c>
      <c r="I191" s="24" t="str">
        <f>IF(VAT_Return!B16="Flat Rate Scheme","Not Claimable (FRS)","Claimable")</f>
        <v>Claimable</v>
      </c>
      <c r="J191" s="29" t="str">
        <f t="shared" si="11"/>
        <v/>
      </c>
    </row>
    <row r="192" spans="1:10" ht="16.5" customHeight="1" x14ac:dyDescent="0.25">
      <c r="A192" s="22">
        <v>188</v>
      </c>
      <c r="B192" s="23"/>
      <c r="C192" s="24"/>
      <c r="D192" s="25"/>
      <c r="E192" s="26"/>
      <c r="F192" s="27">
        <v>0.2</v>
      </c>
      <c r="G192" s="28">
        <f>IF(ISNUMBER(E192),IF(VAT_Return!B16="Flat Rate Scheme",IF(I192="Capital Goods FRS",ROUND(E192*IF(F192=0.2,0.2,IF(F192=0.05,0.05,0)),2),0),IF(I192="Not Claimable (FRS)",0,ROUND(E192*IF(F192=0.2,0.2,IF(F192=0.05,0.05,0)),2))),0)</f>
        <v>0</v>
      </c>
      <c r="H192" s="28">
        <f t="shared" si="10"/>
        <v>0</v>
      </c>
      <c r="I192" s="24" t="str">
        <f>IF(VAT_Return!B16="Flat Rate Scheme","Not Claimable (FRS)","Claimable")</f>
        <v>Claimable</v>
      </c>
      <c r="J192" s="30" t="str">
        <f t="shared" si="11"/>
        <v/>
      </c>
    </row>
    <row r="193" spans="1:10" ht="16.5" customHeight="1" x14ac:dyDescent="0.25">
      <c r="A193" s="22">
        <v>189</v>
      </c>
      <c r="B193" s="23"/>
      <c r="C193" s="24"/>
      <c r="D193" s="25"/>
      <c r="E193" s="26"/>
      <c r="F193" s="27">
        <v>0.2</v>
      </c>
      <c r="G193" s="28">
        <f>IF(ISNUMBER(E193),IF(VAT_Return!B16="Flat Rate Scheme",IF(I193="Capital Goods FRS",ROUND(E193*IF(F193=0.2,0.2,IF(F193=0.05,0.05,0)),2),0),IF(I193="Not Claimable (FRS)",0,ROUND(E193*IF(F193=0.2,0.2,IF(F193=0.05,0.05,0)),2))),0)</f>
        <v>0</v>
      </c>
      <c r="H193" s="28">
        <f t="shared" si="10"/>
        <v>0</v>
      </c>
      <c r="I193" s="24" t="str">
        <f>IF(VAT_Return!B16="Flat Rate Scheme","Not Claimable (FRS)","Claimable")</f>
        <v>Claimable</v>
      </c>
      <c r="J193" s="29" t="str">
        <f t="shared" si="11"/>
        <v/>
      </c>
    </row>
    <row r="194" spans="1:10" ht="16.5" customHeight="1" x14ac:dyDescent="0.25">
      <c r="A194" s="22">
        <v>190</v>
      </c>
      <c r="B194" s="23"/>
      <c r="C194" s="24"/>
      <c r="D194" s="25"/>
      <c r="E194" s="26"/>
      <c r="F194" s="27">
        <v>0.2</v>
      </c>
      <c r="G194" s="28">
        <f>IF(ISNUMBER(E194),IF(VAT_Return!B16="Flat Rate Scheme",IF(I194="Capital Goods FRS",ROUND(E194*IF(F194=0.2,0.2,IF(F194=0.05,0.05,0)),2),0),IF(I194="Not Claimable (FRS)",0,ROUND(E194*IF(F194=0.2,0.2,IF(F194=0.05,0.05,0)),2))),0)</f>
        <v>0</v>
      </c>
      <c r="H194" s="28">
        <f t="shared" si="10"/>
        <v>0</v>
      </c>
      <c r="I194" s="24" t="str">
        <f>IF(VAT_Return!B16="Flat Rate Scheme","Not Claimable (FRS)","Claimable")</f>
        <v>Claimable</v>
      </c>
      <c r="J194" s="30" t="str">
        <f t="shared" si="11"/>
        <v/>
      </c>
    </row>
    <row r="195" spans="1:10" ht="16.5" customHeight="1" x14ac:dyDescent="0.25">
      <c r="A195" s="22">
        <v>191</v>
      </c>
      <c r="B195" s="23"/>
      <c r="C195" s="24"/>
      <c r="D195" s="25"/>
      <c r="E195" s="26"/>
      <c r="F195" s="27">
        <v>0.2</v>
      </c>
      <c r="G195" s="28">
        <f>IF(ISNUMBER(E195),IF(VAT_Return!B16="Flat Rate Scheme",IF(I195="Capital Goods FRS",ROUND(E195*IF(F195=0.2,0.2,IF(F195=0.05,0.05,0)),2),0),IF(I195="Not Claimable (FRS)",0,ROUND(E195*IF(F195=0.2,0.2,IF(F195=0.05,0.05,0)),2))),0)</f>
        <v>0</v>
      </c>
      <c r="H195" s="28">
        <f t="shared" si="10"/>
        <v>0</v>
      </c>
      <c r="I195" s="24" t="str">
        <f>IF(VAT_Return!B16="Flat Rate Scheme","Not Claimable (FRS)","Claimable")</f>
        <v>Claimable</v>
      </c>
      <c r="J195" s="29" t="str">
        <f t="shared" si="11"/>
        <v/>
      </c>
    </row>
    <row r="196" spans="1:10" ht="16.5" customHeight="1" x14ac:dyDescent="0.25">
      <c r="A196" s="22">
        <v>192</v>
      </c>
      <c r="B196" s="23"/>
      <c r="C196" s="24"/>
      <c r="D196" s="25"/>
      <c r="E196" s="26"/>
      <c r="F196" s="27">
        <v>0.2</v>
      </c>
      <c r="G196" s="28">
        <f>IF(ISNUMBER(E196),IF(VAT_Return!B16="Flat Rate Scheme",IF(I196="Capital Goods FRS",ROUND(E196*IF(F196=0.2,0.2,IF(F196=0.05,0.05,0)),2),0),IF(I196="Not Claimable (FRS)",0,ROUND(E196*IF(F196=0.2,0.2,IF(F196=0.05,0.05,0)),2))),0)</f>
        <v>0</v>
      </c>
      <c r="H196" s="28">
        <f t="shared" si="10"/>
        <v>0</v>
      </c>
      <c r="I196" s="24" t="str">
        <f>IF(VAT_Return!B16="Flat Rate Scheme","Not Claimable (FRS)","Claimable")</f>
        <v>Claimable</v>
      </c>
      <c r="J196" s="30" t="str">
        <f t="shared" si="11"/>
        <v/>
      </c>
    </row>
    <row r="197" spans="1:10" ht="16.5" customHeight="1" x14ac:dyDescent="0.25">
      <c r="A197" s="22">
        <v>193</v>
      </c>
      <c r="B197" s="23"/>
      <c r="C197" s="24"/>
      <c r="D197" s="25"/>
      <c r="E197" s="26"/>
      <c r="F197" s="27">
        <v>0.2</v>
      </c>
      <c r="G197" s="28">
        <f>IF(ISNUMBER(E197),IF(VAT_Return!B16="Flat Rate Scheme",IF(I197="Capital Goods FRS",ROUND(E197*IF(F197=0.2,0.2,IF(F197=0.05,0.05,0)),2),0),IF(I197="Not Claimable (FRS)",0,ROUND(E197*IF(F197=0.2,0.2,IF(F197=0.05,0.05,0)),2))),0)</f>
        <v>0</v>
      </c>
      <c r="H197" s="28">
        <f t="shared" ref="H197:H228" si="12">IF(ISNUMBER(E197),ROUND(E197+G197,2),0)</f>
        <v>0</v>
      </c>
      <c r="I197" s="24" t="str">
        <f>IF(VAT_Return!B16="Flat Rate Scheme","Not Claimable (FRS)","Claimable")</f>
        <v>Claimable</v>
      </c>
      <c r="J197" s="29" t="str">
        <f t="shared" ref="J197:J204" si="13">IF(E197="","",IF(ISNUMBER(E197),IF(E197&gt;0,"✓ OK","⚠ Check Net"),"⚠ Not a number"))</f>
        <v/>
      </c>
    </row>
    <row r="198" spans="1:10" ht="16.5" customHeight="1" x14ac:dyDescent="0.25">
      <c r="A198" s="22">
        <v>194</v>
      </c>
      <c r="B198" s="23"/>
      <c r="C198" s="24"/>
      <c r="D198" s="25"/>
      <c r="E198" s="26"/>
      <c r="F198" s="27">
        <v>0.2</v>
      </c>
      <c r="G198" s="28">
        <f>IF(ISNUMBER(E198),IF(VAT_Return!B16="Flat Rate Scheme",IF(I198="Capital Goods FRS",ROUND(E198*IF(F198=0.2,0.2,IF(F198=0.05,0.05,0)),2),0),IF(I198="Not Claimable (FRS)",0,ROUND(E198*IF(F198=0.2,0.2,IF(F198=0.05,0.05,0)),2))),0)</f>
        <v>0</v>
      </c>
      <c r="H198" s="28">
        <f t="shared" si="12"/>
        <v>0</v>
      </c>
      <c r="I198" s="24" t="str">
        <f>IF(VAT_Return!B16="Flat Rate Scheme","Not Claimable (FRS)","Claimable")</f>
        <v>Claimable</v>
      </c>
      <c r="J198" s="30" t="str">
        <f t="shared" si="13"/>
        <v/>
      </c>
    </row>
    <row r="199" spans="1:10" ht="16.5" customHeight="1" x14ac:dyDescent="0.25">
      <c r="A199" s="22">
        <v>195</v>
      </c>
      <c r="B199" s="23"/>
      <c r="C199" s="24"/>
      <c r="D199" s="25"/>
      <c r="E199" s="26"/>
      <c r="F199" s="27">
        <v>0.2</v>
      </c>
      <c r="G199" s="28">
        <f>IF(ISNUMBER(E199),IF(VAT_Return!B16="Flat Rate Scheme",IF(I199="Capital Goods FRS",ROUND(E199*IF(F199=0.2,0.2,IF(F199=0.05,0.05,0)),2),0),IF(I199="Not Claimable (FRS)",0,ROUND(E199*IF(F199=0.2,0.2,IF(F199=0.05,0.05,0)),2))),0)</f>
        <v>0</v>
      </c>
      <c r="H199" s="28">
        <f t="shared" si="12"/>
        <v>0</v>
      </c>
      <c r="I199" s="24" t="str">
        <f>IF(VAT_Return!B16="Flat Rate Scheme","Not Claimable (FRS)","Claimable")</f>
        <v>Claimable</v>
      </c>
      <c r="J199" s="29" t="str">
        <f t="shared" si="13"/>
        <v/>
      </c>
    </row>
    <row r="200" spans="1:10" ht="16.5" customHeight="1" x14ac:dyDescent="0.25">
      <c r="A200" s="22">
        <v>196</v>
      </c>
      <c r="B200" s="23"/>
      <c r="C200" s="24"/>
      <c r="D200" s="25"/>
      <c r="E200" s="26"/>
      <c r="F200" s="27">
        <v>0.2</v>
      </c>
      <c r="G200" s="28">
        <f>IF(ISNUMBER(E200),IF(VAT_Return!B16="Flat Rate Scheme",IF(I200="Capital Goods FRS",ROUND(E200*IF(F200=0.2,0.2,IF(F200=0.05,0.05,0)),2),0),IF(I200="Not Claimable (FRS)",0,ROUND(E200*IF(F200=0.2,0.2,IF(F200=0.05,0.05,0)),2))),0)</f>
        <v>0</v>
      </c>
      <c r="H200" s="28">
        <f t="shared" si="12"/>
        <v>0</v>
      </c>
      <c r="I200" s="24" t="str">
        <f>IF(VAT_Return!B16="Flat Rate Scheme","Not Claimable (FRS)","Claimable")</f>
        <v>Claimable</v>
      </c>
      <c r="J200" s="30" t="str">
        <f t="shared" si="13"/>
        <v/>
      </c>
    </row>
    <row r="201" spans="1:10" ht="16.5" customHeight="1" x14ac:dyDescent="0.25">
      <c r="A201" s="22">
        <v>197</v>
      </c>
      <c r="B201" s="23"/>
      <c r="C201" s="24"/>
      <c r="D201" s="25"/>
      <c r="E201" s="26"/>
      <c r="F201" s="27">
        <v>0.2</v>
      </c>
      <c r="G201" s="28">
        <f>IF(ISNUMBER(E201),IF(VAT_Return!B16="Flat Rate Scheme",IF(I201="Capital Goods FRS",ROUND(E201*IF(F201=0.2,0.2,IF(F201=0.05,0.05,0)),2),0),IF(I201="Not Claimable (FRS)",0,ROUND(E201*IF(F201=0.2,0.2,IF(F201=0.05,0.05,0)),2))),0)</f>
        <v>0</v>
      </c>
      <c r="H201" s="28">
        <f t="shared" si="12"/>
        <v>0</v>
      </c>
      <c r="I201" s="24" t="str">
        <f>IF(VAT_Return!B16="Flat Rate Scheme","Not Claimable (FRS)","Claimable")</f>
        <v>Claimable</v>
      </c>
      <c r="J201" s="29" t="str">
        <f t="shared" si="13"/>
        <v/>
      </c>
    </row>
    <row r="202" spans="1:10" ht="16.5" customHeight="1" x14ac:dyDescent="0.25">
      <c r="A202" s="22">
        <v>198</v>
      </c>
      <c r="B202" s="23"/>
      <c r="C202" s="24"/>
      <c r="D202" s="25"/>
      <c r="E202" s="26"/>
      <c r="F202" s="27">
        <v>0.2</v>
      </c>
      <c r="G202" s="28">
        <f>IF(ISNUMBER(E202),IF(VAT_Return!B16="Flat Rate Scheme",IF(I202="Capital Goods FRS",ROUND(E202*IF(F202=0.2,0.2,IF(F202=0.05,0.05,0)),2),0),IF(I202="Not Claimable (FRS)",0,ROUND(E202*IF(F202=0.2,0.2,IF(F202=0.05,0.05,0)),2))),0)</f>
        <v>0</v>
      </c>
      <c r="H202" s="28">
        <f t="shared" si="12"/>
        <v>0</v>
      </c>
      <c r="I202" s="24" t="str">
        <f>IF(VAT_Return!B16="Flat Rate Scheme","Not Claimable (FRS)","Claimable")</f>
        <v>Claimable</v>
      </c>
      <c r="J202" s="30" t="str">
        <f t="shared" si="13"/>
        <v/>
      </c>
    </row>
    <row r="203" spans="1:10" ht="16.5" customHeight="1" x14ac:dyDescent="0.25">
      <c r="A203" s="22">
        <v>199</v>
      </c>
      <c r="B203" s="23"/>
      <c r="C203" s="24"/>
      <c r="D203" s="25"/>
      <c r="E203" s="26"/>
      <c r="F203" s="27">
        <v>0.2</v>
      </c>
      <c r="G203" s="28">
        <f>IF(ISNUMBER(E203),IF(VAT_Return!B16="Flat Rate Scheme",IF(I203="Capital Goods FRS",ROUND(E203*IF(F203=0.2,0.2,IF(F203=0.05,0.05,0)),2),0),IF(I203="Not Claimable (FRS)",0,ROUND(E203*IF(F203=0.2,0.2,IF(F203=0.05,0.05,0)),2))),0)</f>
        <v>0</v>
      </c>
      <c r="H203" s="28">
        <f t="shared" si="12"/>
        <v>0</v>
      </c>
      <c r="I203" s="24" t="str">
        <f>IF(VAT_Return!B16="Flat Rate Scheme","Not Claimable (FRS)","Claimable")</f>
        <v>Claimable</v>
      </c>
      <c r="J203" s="29" t="str">
        <f t="shared" si="13"/>
        <v/>
      </c>
    </row>
    <row r="204" spans="1:10" ht="16.5" customHeight="1" x14ac:dyDescent="0.25">
      <c r="A204" s="22">
        <v>200</v>
      </c>
      <c r="B204" s="23"/>
      <c r="C204" s="24"/>
      <c r="D204" s="25"/>
      <c r="E204" s="26"/>
      <c r="F204" s="27">
        <v>0.2</v>
      </c>
      <c r="G204" s="28">
        <f>IF(ISNUMBER(E204),IF(VAT_Return!B16="Flat Rate Scheme",IF(I204="Capital Goods FRS",ROUND(E204*IF(F204=0.2,0.2,IF(F204=0.05,0.05,0)),2),0),IF(I204="Not Claimable (FRS)",0,ROUND(E204*IF(F204=0.2,0.2,IF(F204=0.05,0.05,0)),2))),0)</f>
        <v>0</v>
      </c>
      <c r="H204" s="28">
        <f t="shared" si="12"/>
        <v>0</v>
      </c>
      <c r="I204" s="24" t="str">
        <f>IF(VAT_Return!B16="Flat Rate Scheme","Not Claimable (FRS)","Claimable")</f>
        <v>Claimable</v>
      </c>
      <c r="J204" s="30" t="str">
        <f t="shared" si="13"/>
        <v/>
      </c>
    </row>
    <row r="205" spans="1:10" ht="21.75" customHeight="1" x14ac:dyDescent="0.25">
      <c r="A205" s="50" t="s">
        <v>89</v>
      </c>
      <c r="B205" s="44"/>
      <c r="C205" s="44"/>
      <c r="D205" s="44"/>
      <c r="E205" s="44"/>
      <c r="F205" s="44"/>
      <c r="G205" s="44"/>
      <c r="H205" s="44"/>
      <c r="I205" s="44"/>
      <c r="J205" s="44"/>
    </row>
  </sheetData>
  <mergeCells count="3">
    <mergeCell ref="A205:J205"/>
    <mergeCell ref="A1:J1"/>
    <mergeCell ref="A2:J2"/>
  </mergeCells>
  <dataValidations count="2">
    <dataValidation type="list" sqref="F5:F204" xr:uid="{00000000-0002-0000-0200-000000000000}">
      <formula1>"0,0.05,0.2"</formula1>
      <formula2>0</formula2>
    </dataValidation>
    <dataValidation type="list" sqref="I5:I204" xr:uid="{00000000-0002-0000-0200-000001000000}">
      <formula1>"Claimable,Not Claimable (FRS),Capital Goods FRS,Blocked Input,Exempt"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951A"/>
  </sheetPr>
  <dimension ref="A1:E30"/>
  <sheetViews>
    <sheetView showGridLines="0" zoomScaleNormal="100" workbookViewId="0">
      <selection activeCell="A3" sqref="A3:E3"/>
    </sheetView>
  </sheetViews>
  <sheetFormatPr defaultColWidth="8.7109375" defaultRowHeight="15" x14ac:dyDescent="0.25"/>
  <cols>
    <col min="1" max="1" width="5" style="1" customWidth="1"/>
    <col min="2" max="2" width="38" style="1" customWidth="1"/>
    <col min="3" max="3" width="20" style="1" customWidth="1"/>
    <col min="4" max="4" width="22" style="1" customWidth="1"/>
    <col min="5" max="5" width="20" style="1" customWidth="1"/>
  </cols>
  <sheetData>
    <row r="1" spans="1:5" ht="39.75" customHeight="1" x14ac:dyDescent="0.25">
      <c r="A1" s="54" t="s">
        <v>96</v>
      </c>
      <c r="B1" s="44"/>
      <c r="C1" s="44"/>
      <c r="D1" s="44"/>
      <c r="E1" s="44"/>
    </row>
    <row r="2" spans="1:5" ht="7.5" customHeight="1" x14ac:dyDescent="0.25"/>
    <row r="3" spans="1:5" ht="19.5" customHeight="1" x14ac:dyDescent="0.25">
      <c r="A3" s="46" t="s">
        <v>97</v>
      </c>
      <c r="B3" s="44"/>
      <c r="C3" s="44"/>
      <c r="D3" s="44"/>
      <c r="E3" s="44"/>
    </row>
    <row r="4" spans="1:5" ht="24" customHeight="1" x14ac:dyDescent="0.25">
      <c r="A4" s="47" t="s">
        <v>98</v>
      </c>
      <c r="B4" s="44"/>
      <c r="C4" s="31">
        <f>IFERROR(Sales!H3,0)</f>
        <v>0</v>
      </c>
    </row>
    <row r="5" spans="1:5" ht="24" customHeight="1" x14ac:dyDescent="0.25">
      <c r="A5" s="47" t="s">
        <v>99</v>
      </c>
      <c r="B5" s="44"/>
      <c r="C5" s="32">
        <f>VAT_Return!B17</f>
        <v>0.16500000000000001</v>
      </c>
    </row>
    <row r="6" spans="1:5" ht="24" customHeight="1" x14ac:dyDescent="0.25">
      <c r="A6" s="58" t="s">
        <v>100</v>
      </c>
      <c r="B6" s="44"/>
      <c r="C6" s="12">
        <f>ROUND(IFERROR(C4,0)*IFERROR(C5,0),2)</f>
        <v>0</v>
      </c>
    </row>
    <row r="7" spans="1:5" ht="24" customHeight="1" x14ac:dyDescent="0.25">
      <c r="A7" s="47" t="s">
        <v>101</v>
      </c>
      <c r="B7" s="44"/>
      <c r="C7" s="31">
        <f>ROUND(IFERROR(Sales!G3,0),2)</f>
        <v>0</v>
      </c>
    </row>
    <row r="8" spans="1:5" ht="24" customHeight="1" x14ac:dyDescent="0.25">
      <c r="A8" s="58" t="s">
        <v>102</v>
      </c>
      <c r="B8" s="44"/>
      <c r="C8" s="12">
        <f>ROUND(IFERROR(C7,0)-IFERROR(C6,0),2)</f>
        <v>0</v>
      </c>
    </row>
    <row r="9" spans="1:5" ht="24" customHeight="1" x14ac:dyDescent="0.25">
      <c r="A9" s="47" t="s">
        <v>103</v>
      </c>
      <c r="B9" s="44"/>
      <c r="C9" s="31">
        <f>IFERROR(Sales!E3,0)</f>
        <v>0</v>
      </c>
    </row>
    <row r="10" spans="1:5" ht="7.5" customHeight="1" x14ac:dyDescent="0.25"/>
    <row r="11" spans="1:5" ht="19.5" customHeight="1" x14ac:dyDescent="0.25">
      <c r="A11" s="46" t="s">
        <v>104</v>
      </c>
      <c r="B11" s="44"/>
      <c r="C11" s="44"/>
      <c r="D11" s="44"/>
      <c r="E11" s="44"/>
    </row>
    <row r="12" spans="1:5" ht="21.75" customHeight="1" x14ac:dyDescent="0.25">
      <c r="A12" s="4" t="s">
        <v>105</v>
      </c>
      <c r="B12" s="4"/>
      <c r="C12" s="4" t="s">
        <v>106</v>
      </c>
      <c r="D12" s="4" t="s">
        <v>107</v>
      </c>
      <c r="E12" s="4" t="s">
        <v>108</v>
      </c>
    </row>
    <row r="13" spans="1:5" ht="18" customHeight="1" x14ac:dyDescent="0.25">
      <c r="A13" s="47" t="s">
        <v>109</v>
      </c>
      <c r="B13" s="44"/>
      <c r="C13" s="33" t="s">
        <v>110</v>
      </c>
      <c r="D13" s="34" t="s">
        <v>111</v>
      </c>
      <c r="E13" s="35" t="s">
        <v>112</v>
      </c>
    </row>
    <row r="14" spans="1:5" ht="18" customHeight="1" x14ac:dyDescent="0.25">
      <c r="A14" s="57" t="s">
        <v>113</v>
      </c>
      <c r="B14" s="44"/>
      <c r="C14" s="36" t="s">
        <v>110</v>
      </c>
      <c r="D14" s="34" t="s">
        <v>111</v>
      </c>
      <c r="E14" s="37" t="s">
        <v>112</v>
      </c>
    </row>
    <row r="15" spans="1:5" ht="18" customHeight="1" x14ac:dyDescent="0.25">
      <c r="A15" s="47" t="s">
        <v>114</v>
      </c>
      <c r="B15" s="44"/>
      <c r="C15" s="33" t="s">
        <v>115</v>
      </c>
      <c r="D15" s="34" t="s">
        <v>111</v>
      </c>
      <c r="E15" s="35" t="s">
        <v>112</v>
      </c>
    </row>
    <row r="16" spans="1:5" ht="18" customHeight="1" x14ac:dyDescent="0.25">
      <c r="A16" s="57" t="s">
        <v>116</v>
      </c>
      <c r="B16" s="44"/>
      <c r="C16" s="36" t="s">
        <v>117</v>
      </c>
      <c r="D16" s="34" t="s">
        <v>111</v>
      </c>
      <c r="E16" s="37" t="s">
        <v>112</v>
      </c>
    </row>
    <row r="17" spans="1:5" ht="18" customHeight="1" x14ac:dyDescent="0.25">
      <c r="A17" s="47" t="s">
        <v>118</v>
      </c>
      <c r="B17" s="44"/>
      <c r="C17" s="33" t="s">
        <v>110</v>
      </c>
      <c r="D17" s="34" t="s">
        <v>111</v>
      </c>
      <c r="E17" s="35" t="s">
        <v>112</v>
      </c>
    </row>
    <row r="18" spans="1:5" ht="18" customHeight="1" x14ac:dyDescent="0.25">
      <c r="A18" s="57" t="s">
        <v>119</v>
      </c>
      <c r="B18" s="44"/>
      <c r="C18" s="36" t="s">
        <v>120</v>
      </c>
      <c r="D18" s="34" t="s">
        <v>111</v>
      </c>
      <c r="E18" s="37" t="s">
        <v>112</v>
      </c>
    </row>
    <row r="19" spans="1:5" ht="18" customHeight="1" x14ac:dyDescent="0.25">
      <c r="A19" s="47" t="s">
        <v>121</v>
      </c>
      <c r="B19" s="44"/>
      <c r="C19" s="33" t="s">
        <v>122</v>
      </c>
      <c r="D19" s="34" t="s">
        <v>111</v>
      </c>
      <c r="E19" s="35" t="s">
        <v>123</v>
      </c>
    </row>
    <row r="20" spans="1:5" ht="18" customHeight="1" x14ac:dyDescent="0.25">
      <c r="A20" s="57" t="s">
        <v>124</v>
      </c>
      <c r="B20" s="44"/>
      <c r="C20" s="36" t="s">
        <v>125</v>
      </c>
      <c r="D20" s="34" t="s">
        <v>111</v>
      </c>
      <c r="E20" s="37" t="s">
        <v>126</v>
      </c>
    </row>
    <row r="21" spans="1:5" ht="18" customHeight="1" x14ac:dyDescent="0.25">
      <c r="A21" s="47" t="s">
        <v>127</v>
      </c>
      <c r="B21" s="44"/>
      <c r="C21" s="33" t="s">
        <v>128</v>
      </c>
      <c r="D21" s="34" t="s">
        <v>111</v>
      </c>
      <c r="E21" s="35" t="s">
        <v>129</v>
      </c>
    </row>
    <row r="22" spans="1:5" ht="18" customHeight="1" x14ac:dyDescent="0.25">
      <c r="A22" s="57" t="s">
        <v>130</v>
      </c>
      <c r="B22" s="44"/>
      <c r="C22" s="36" t="s">
        <v>120</v>
      </c>
      <c r="D22" s="34" t="s">
        <v>111</v>
      </c>
      <c r="E22" s="37" t="s">
        <v>131</v>
      </c>
    </row>
    <row r="23" spans="1:5" ht="18" customHeight="1" x14ac:dyDescent="0.25">
      <c r="A23" s="47" t="s">
        <v>132</v>
      </c>
      <c r="B23" s="44"/>
      <c r="C23" s="33" t="s">
        <v>133</v>
      </c>
      <c r="D23" s="34" t="s">
        <v>111</v>
      </c>
      <c r="E23" s="35" t="s">
        <v>134</v>
      </c>
    </row>
    <row r="24" spans="1:5" ht="18" customHeight="1" x14ac:dyDescent="0.25">
      <c r="A24" s="57" t="s">
        <v>135</v>
      </c>
      <c r="B24" s="44"/>
      <c r="C24" s="36" t="s">
        <v>120</v>
      </c>
      <c r="D24" s="34" t="s">
        <v>111</v>
      </c>
      <c r="E24" s="37" t="s">
        <v>136</v>
      </c>
    </row>
    <row r="25" spans="1:5" ht="18" customHeight="1" x14ac:dyDescent="0.25">
      <c r="A25" s="47" t="s">
        <v>137</v>
      </c>
      <c r="B25" s="44"/>
      <c r="C25" s="33" t="s">
        <v>120</v>
      </c>
      <c r="D25" s="34" t="s">
        <v>111</v>
      </c>
      <c r="E25" s="35" t="s">
        <v>138</v>
      </c>
    </row>
    <row r="26" spans="1:5" ht="18" customHeight="1" x14ac:dyDescent="0.25">
      <c r="A26" s="57" t="s">
        <v>139</v>
      </c>
      <c r="B26" s="44"/>
      <c r="C26" s="36" t="s">
        <v>140</v>
      </c>
      <c r="D26" s="34" t="s">
        <v>111</v>
      </c>
      <c r="E26" s="37" t="s">
        <v>141</v>
      </c>
    </row>
    <row r="27" spans="1:5" ht="18" customHeight="1" x14ac:dyDescent="0.25">
      <c r="A27" s="47" t="s">
        <v>142</v>
      </c>
      <c r="B27" s="44"/>
      <c r="C27" s="33" t="s">
        <v>143</v>
      </c>
      <c r="D27" s="34" t="s">
        <v>111</v>
      </c>
      <c r="E27" s="35" t="s">
        <v>144</v>
      </c>
    </row>
    <row r="30" spans="1:5" ht="21.75" customHeight="1" x14ac:dyDescent="0.25">
      <c r="A30" s="50" t="s">
        <v>76</v>
      </c>
      <c r="B30" s="44"/>
      <c r="C30" s="44"/>
      <c r="D30" s="44"/>
      <c r="E30" s="44"/>
    </row>
  </sheetData>
  <mergeCells count="25">
    <mergeCell ref="A1:E1"/>
    <mergeCell ref="A13:B13"/>
    <mergeCell ref="A9:B9"/>
    <mergeCell ref="A30:E30"/>
    <mergeCell ref="A22:B22"/>
    <mergeCell ref="A4:B4"/>
    <mergeCell ref="A11:E11"/>
    <mergeCell ref="A20:B20"/>
    <mergeCell ref="A19:B19"/>
    <mergeCell ref="A25:B25"/>
    <mergeCell ref="A18:B18"/>
    <mergeCell ref="A27:B27"/>
    <mergeCell ref="A26:B26"/>
    <mergeCell ref="A21:B21"/>
    <mergeCell ref="A14:B14"/>
    <mergeCell ref="A17:B17"/>
    <mergeCell ref="A23:B23"/>
    <mergeCell ref="A3:E3"/>
    <mergeCell ref="A6:B6"/>
    <mergeCell ref="A16:B16"/>
    <mergeCell ref="A7:B7"/>
    <mergeCell ref="A5:B5"/>
    <mergeCell ref="A8:B8"/>
    <mergeCell ref="A24:B24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55A64"/>
  </sheetPr>
  <dimension ref="A1:C67"/>
  <sheetViews>
    <sheetView showGridLines="0" zoomScaleNormal="100" workbookViewId="0">
      <selection sqref="A1:C1"/>
    </sheetView>
  </sheetViews>
  <sheetFormatPr defaultColWidth="8.7109375" defaultRowHeight="15" x14ac:dyDescent="0.25"/>
  <cols>
    <col min="1" max="1" width="6.5703125" style="1" bestFit="1" customWidth="1"/>
    <col min="2" max="2" width="19.42578125" style="1" bestFit="1" customWidth="1"/>
    <col min="3" max="3" width="78.7109375" style="1" customWidth="1"/>
  </cols>
  <sheetData>
    <row r="1" spans="1:3" ht="48" customHeight="1" x14ac:dyDescent="0.25">
      <c r="A1" s="63" t="s">
        <v>145</v>
      </c>
      <c r="B1" s="44"/>
      <c r="C1" s="44"/>
    </row>
    <row r="2" spans="1:3" ht="18" customHeight="1" x14ac:dyDescent="0.25">
      <c r="A2" s="64" t="s">
        <v>242</v>
      </c>
      <c r="B2" s="44"/>
      <c r="C2" s="44"/>
    </row>
    <row r="3" spans="1:3" ht="6" customHeight="1" x14ac:dyDescent="0.25"/>
    <row r="4" spans="1:3" ht="25.5" customHeight="1" x14ac:dyDescent="0.25">
      <c r="A4" s="38" t="s">
        <v>146</v>
      </c>
      <c r="B4" s="59" t="s">
        <v>147</v>
      </c>
      <c r="C4" s="44"/>
    </row>
    <row r="5" spans="1:3" ht="18" customHeight="1" x14ac:dyDescent="0.25">
      <c r="B5" s="39" t="s">
        <v>148</v>
      </c>
      <c r="C5" s="40" t="s">
        <v>149</v>
      </c>
    </row>
    <row r="6" spans="1:3" ht="18" customHeight="1" x14ac:dyDescent="0.25">
      <c r="B6" s="39" t="s">
        <v>150</v>
      </c>
      <c r="C6" s="40" t="s">
        <v>151</v>
      </c>
    </row>
    <row r="7" spans="1:3" ht="18" customHeight="1" x14ac:dyDescent="0.25">
      <c r="B7" s="39" t="s">
        <v>152</v>
      </c>
      <c r="C7" s="40" t="s">
        <v>153</v>
      </c>
    </row>
    <row r="8" spans="1:3" ht="21.75" customHeight="1" x14ac:dyDescent="0.25">
      <c r="B8" s="41" t="s">
        <v>154</v>
      </c>
      <c r="C8" s="42" t="s">
        <v>155</v>
      </c>
    </row>
    <row r="9" spans="1:3" ht="18" customHeight="1" x14ac:dyDescent="0.25">
      <c r="B9" s="41" t="s">
        <v>156</v>
      </c>
      <c r="C9" s="42" t="s">
        <v>157</v>
      </c>
    </row>
    <row r="10" spans="1:3" ht="18" customHeight="1" x14ac:dyDescent="0.25">
      <c r="B10" s="41" t="s">
        <v>158</v>
      </c>
      <c r="C10" s="42" t="s">
        <v>159</v>
      </c>
    </row>
    <row r="11" spans="1:3" ht="18" customHeight="1" x14ac:dyDescent="0.25">
      <c r="B11" s="41" t="s">
        <v>160</v>
      </c>
      <c r="C11" s="42" t="s">
        <v>161</v>
      </c>
    </row>
    <row r="12" spans="1:3" ht="18" customHeight="1" x14ac:dyDescent="0.25">
      <c r="B12" s="41" t="s">
        <v>162</v>
      </c>
      <c r="C12" s="42" t="s">
        <v>163</v>
      </c>
    </row>
    <row r="13" spans="1:3" ht="18" customHeight="1" x14ac:dyDescent="0.25">
      <c r="B13" s="41" t="s">
        <v>164</v>
      </c>
      <c r="C13" s="42" t="s">
        <v>165</v>
      </c>
    </row>
    <row r="14" spans="1:3" ht="18" customHeight="1" x14ac:dyDescent="0.25">
      <c r="B14" s="39" t="s">
        <v>166</v>
      </c>
      <c r="C14" s="40" t="s">
        <v>167</v>
      </c>
    </row>
    <row r="15" spans="1:3" ht="6" customHeight="1" x14ac:dyDescent="0.25"/>
    <row r="16" spans="1:3" ht="25.5" customHeight="1" x14ac:dyDescent="0.25">
      <c r="A16" s="38" t="s">
        <v>168</v>
      </c>
      <c r="B16" s="59" t="s">
        <v>169</v>
      </c>
      <c r="C16" s="44"/>
    </row>
    <row r="17" spans="1:3" ht="18" customHeight="1" x14ac:dyDescent="0.25">
      <c r="B17" s="41" t="s">
        <v>170</v>
      </c>
      <c r="C17" s="42" t="s">
        <v>171</v>
      </c>
    </row>
    <row r="18" spans="1:3" ht="18" customHeight="1" x14ac:dyDescent="0.25">
      <c r="B18" s="39" t="s">
        <v>172</v>
      </c>
      <c r="C18" s="40" t="s">
        <v>173</v>
      </c>
    </row>
    <row r="19" spans="1:3" ht="18" customHeight="1" x14ac:dyDescent="0.25">
      <c r="B19" s="39" t="s">
        <v>174</v>
      </c>
      <c r="C19" s="40" t="s">
        <v>175</v>
      </c>
    </row>
    <row r="20" spans="1:3" ht="18" customHeight="1" x14ac:dyDescent="0.25">
      <c r="B20" s="39" t="s">
        <v>176</v>
      </c>
      <c r="C20" s="40" t="s">
        <v>177</v>
      </c>
    </row>
    <row r="21" spans="1:3" ht="18" customHeight="1" x14ac:dyDescent="0.25">
      <c r="B21" s="39" t="s">
        <v>178</v>
      </c>
      <c r="C21" s="40" t="s">
        <v>179</v>
      </c>
    </row>
    <row r="22" spans="1:3" ht="6" customHeight="1" x14ac:dyDescent="0.25"/>
    <row r="23" spans="1:3" ht="25.5" customHeight="1" x14ac:dyDescent="0.25">
      <c r="A23" s="38" t="s">
        <v>180</v>
      </c>
      <c r="B23" s="59" t="s">
        <v>181</v>
      </c>
      <c r="C23" s="44"/>
    </row>
    <row r="24" spans="1:3" ht="18" customHeight="1" x14ac:dyDescent="0.25">
      <c r="B24" s="39" t="s">
        <v>170</v>
      </c>
      <c r="C24" s="40" t="s">
        <v>182</v>
      </c>
    </row>
    <row r="25" spans="1:3" ht="18" customHeight="1" x14ac:dyDescent="0.25">
      <c r="B25" s="39" t="s">
        <v>172</v>
      </c>
      <c r="C25" s="40" t="s">
        <v>183</v>
      </c>
    </row>
    <row r="26" spans="1:3" ht="21.75" customHeight="1" x14ac:dyDescent="0.25">
      <c r="B26" s="41" t="s">
        <v>184</v>
      </c>
      <c r="C26" s="42" t="s">
        <v>185</v>
      </c>
    </row>
    <row r="27" spans="1:3" ht="18" customHeight="1" x14ac:dyDescent="0.25">
      <c r="B27" s="41" t="s">
        <v>186</v>
      </c>
      <c r="C27" s="42" t="s">
        <v>187</v>
      </c>
    </row>
    <row r="28" spans="1:3" ht="18" customHeight="1" x14ac:dyDescent="0.25">
      <c r="B28" s="41" t="s">
        <v>188</v>
      </c>
      <c r="C28" s="42" t="s">
        <v>189</v>
      </c>
    </row>
    <row r="29" spans="1:3" ht="18" customHeight="1" x14ac:dyDescent="0.25">
      <c r="B29" s="41" t="s">
        <v>190</v>
      </c>
      <c r="C29" s="42" t="s">
        <v>191</v>
      </c>
    </row>
    <row r="30" spans="1:3" ht="18" customHeight="1" x14ac:dyDescent="0.25">
      <c r="B30" s="41" t="s">
        <v>192</v>
      </c>
      <c r="C30" s="42" t="s">
        <v>193</v>
      </c>
    </row>
    <row r="31" spans="1:3" ht="6" customHeight="1" x14ac:dyDescent="0.25"/>
    <row r="32" spans="1:3" ht="25.5" customHeight="1" x14ac:dyDescent="0.25">
      <c r="A32" s="38" t="s">
        <v>194</v>
      </c>
      <c r="B32" s="59" t="s">
        <v>195</v>
      </c>
      <c r="C32" s="44"/>
    </row>
    <row r="33" spans="1:3" ht="18" customHeight="1" x14ac:dyDescent="0.25">
      <c r="B33" s="39" t="s">
        <v>196</v>
      </c>
      <c r="C33" s="40" t="s">
        <v>197</v>
      </c>
    </row>
    <row r="34" spans="1:3" ht="18" customHeight="1" x14ac:dyDescent="0.25">
      <c r="B34" s="39" t="s">
        <v>198</v>
      </c>
      <c r="C34" s="40" t="s">
        <v>199</v>
      </c>
    </row>
    <row r="35" spans="1:3" ht="18" customHeight="1" x14ac:dyDescent="0.25">
      <c r="B35" s="39" t="s">
        <v>200</v>
      </c>
      <c r="C35" s="40" t="s">
        <v>201</v>
      </c>
    </row>
    <row r="36" spans="1:3" ht="18" customHeight="1" x14ac:dyDescent="0.25">
      <c r="B36" s="39" t="s">
        <v>202</v>
      </c>
      <c r="C36" s="40" t="s">
        <v>203</v>
      </c>
    </row>
    <row r="37" spans="1:3" ht="6" customHeight="1" x14ac:dyDescent="0.25"/>
    <row r="38" spans="1:3" ht="25.5" customHeight="1" x14ac:dyDescent="0.25">
      <c r="A38" s="38" t="s">
        <v>204</v>
      </c>
      <c r="B38" s="59" t="s">
        <v>205</v>
      </c>
      <c r="C38" s="44"/>
    </row>
    <row r="39" spans="1:3" ht="21.75" customHeight="1" x14ac:dyDescent="0.25">
      <c r="B39" s="41" t="s">
        <v>206</v>
      </c>
      <c r="C39" s="42" t="s">
        <v>207</v>
      </c>
    </row>
    <row r="40" spans="1:3" ht="18" customHeight="1" x14ac:dyDescent="0.25">
      <c r="B40" s="39" t="s">
        <v>208</v>
      </c>
      <c r="C40" s="40" t="s">
        <v>209</v>
      </c>
    </row>
    <row r="41" spans="1:3" ht="18" customHeight="1" x14ac:dyDescent="0.25">
      <c r="B41" s="39" t="s">
        <v>210</v>
      </c>
      <c r="C41" s="40" t="s">
        <v>211</v>
      </c>
    </row>
    <row r="42" spans="1:3" ht="18" customHeight="1" x14ac:dyDescent="0.25">
      <c r="B42" s="39" t="s">
        <v>212</v>
      </c>
      <c r="C42" s="40" t="s">
        <v>213</v>
      </c>
    </row>
    <row r="43" spans="1:3" ht="6" customHeight="1" x14ac:dyDescent="0.25"/>
    <row r="44" spans="1:3" ht="21.75" customHeight="1" x14ac:dyDescent="0.25">
      <c r="A44" s="62" t="s">
        <v>214</v>
      </c>
      <c r="B44" s="44"/>
      <c r="C44" s="44"/>
    </row>
    <row r="45" spans="1:3" ht="18" customHeight="1" x14ac:dyDescent="0.25">
      <c r="B45" s="39" t="s">
        <v>70</v>
      </c>
      <c r="C45" s="40" t="s">
        <v>215</v>
      </c>
    </row>
    <row r="46" spans="1:3" ht="18" customHeight="1" x14ac:dyDescent="0.25">
      <c r="B46" s="39" t="s">
        <v>72</v>
      </c>
      <c r="C46" s="40" t="s">
        <v>216</v>
      </c>
    </row>
    <row r="47" spans="1:3" ht="18" customHeight="1" x14ac:dyDescent="0.25">
      <c r="B47" s="39" t="s">
        <v>217</v>
      </c>
      <c r="C47" s="40" t="s">
        <v>218</v>
      </c>
    </row>
    <row r="48" spans="1:3" ht="18" customHeight="1" x14ac:dyDescent="0.25">
      <c r="B48" s="39" t="s">
        <v>219</v>
      </c>
      <c r="C48" s="40" t="s">
        <v>220</v>
      </c>
    </row>
    <row r="49" spans="1:3" ht="6" customHeight="1" x14ac:dyDescent="0.25"/>
    <row r="50" spans="1:3" ht="21.75" customHeight="1" x14ac:dyDescent="0.25">
      <c r="A50" s="62" t="s">
        <v>221</v>
      </c>
      <c r="B50" s="44"/>
      <c r="C50" s="44"/>
    </row>
    <row r="51" spans="1:3" ht="18" customHeight="1" x14ac:dyDescent="0.25">
      <c r="B51" s="39" t="s">
        <v>222</v>
      </c>
      <c r="C51" s="40" t="s">
        <v>223</v>
      </c>
    </row>
    <row r="52" spans="1:3" ht="18" customHeight="1" x14ac:dyDescent="0.25">
      <c r="B52" s="39" t="s">
        <v>224</v>
      </c>
      <c r="C52" s="40" t="s">
        <v>225</v>
      </c>
    </row>
    <row r="53" spans="1:3" ht="18" customHeight="1" x14ac:dyDescent="0.25">
      <c r="B53" s="39" t="s">
        <v>226</v>
      </c>
      <c r="C53" s="40" t="s">
        <v>227</v>
      </c>
    </row>
    <row r="54" spans="1:3" ht="6" customHeight="1" x14ac:dyDescent="0.25"/>
    <row r="55" spans="1:3" ht="21.75" customHeight="1" x14ac:dyDescent="0.25">
      <c r="A55" s="62" t="s">
        <v>228</v>
      </c>
      <c r="B55" s="44"/>
      <c r="C55" s="44"/>
    </row>
    <row r="56" spans="1:3" ht="18" customHeight="1" x14ac:dyDescent="0.25">
      <c r="A56" s="60" t="s">
        <v>229</v>
      </c>
      <c r="B56" s="44"/>
      <c r="C56" s="44"/>
    </row>
    <row r="57" spans="1:3" ht="21.75" customHeight="1" x14ac:dyDescent="0.25">
      <c r="A57" s="61" t="s">
        <v>230</v>
      </c>
      <c r="B57" s="44"/>
      <c r="C57" s="44"/>
    </row>
    <row r="58" spans="1:3" ht="18" customHeight="1" x14ac:dyDescent="0.25">
      <c r="A58" s="60" t="s">
        <v>231</v>
      </c>
      <c r="B58" s="44"/>
      <c r="C58" s="44"/>
    </row>
    <row r="59" spans="1:3" ht="21.75" customHeight="1" x14ac:dyDescent="0.25">
      <c r="A59" s="61" t="s">
        <v>232</v>
      </c>
      <c r="B59" s="44"/>
      <c r="C59" s="44"/>
    </row>
    <row r="60" spans="1:3" ht="18" customHeight="1" x14ac:dyDescent="0.25">
      <c r="A60" s="60" t="s">
        <v>233</v>
      </c>
      <c r="B60" s="44"/>
      <c r="C60" s="44"/>
    </row>
    <row r="61" spans="1:3" ht="21.75" customHeight="1" x14ac:dyDescent="0.25">
      <c r="A61" s="61" t="s">
        <v>234</v>
      </c>
      <c r="B61" s="44"/>
      <c r="C61" s="44"/>
    </row>
    <row r="62" spans="1:3" ht="18" customHeight="1" x14ac:dyDescent="0.25">
      <c r="A62" s="60" t="s">
        <v>235</v>
      </c>
      <c r="B62" s="44"/>
      <c r="C62" s="44"/>
    </row>
    <row r="63" spans="1:3" ht="21.75" customHeight="1" x14ac:dyDescent="0.25">
      <c r="A63" s="61" t="s">
        <v>236</v>
      </c>
      <c r="B63" s="44"/>
      <c r="C63" s="44"/>
    </row>
    <row r="64" spans="1:3" ht="18" customHeight="1" x14ac:dyDescent="0.25">
      <c r="A64" s="60" t="s">
        <v>237</v>
      </c>
      <c r="B64" s="44"/>
      <c r="C64" s="44"/>
    </row>
    <row r="65" spans="1:3" ht="21.75" customHeight="1" x14ac:dyDescent="0.25">
      <c r="A65" s="61" t="s">
        <v>238</v>
      </c>
      <c r="B65" s="44"/>
      <c r="C65" s="44"/>
    </row>
    <row r="66" spans="1:3" ht="7.5" customHeight="1" x14ac:dyDescent="0.25"/>
    <row r="67" spans="1:3" ht="21.75" customHeight="1" x14ac:dyDescent="0.25">
      <c r="A67" s="50" t="s">
        <v>239</v>
      </c>
      <c r="B67" s="44"/>
      <c r="C67" s="44"/>
    </row>
  </sheetData>
  <mergeCells count="21">
    <mergeCell ref="A2:C2"/>
    <mergeCell ref="A1:C1"/>
    <mergeCell ref="A61:C61"/>
    <mergeCell ref="B4:C4"/>
    <mergeCell ref="B32:C32"/>
    <mergeCell ref="B16:C16"/>
    <mergeCell ref="A67:C67"/>
    <mergeCell ref="A58:C58"/>
    <mergeCell ref="A64:C64"/>
    <mergeCell ref="A59:C59"/>
    <mergeCell ref="A60:C60"/>
    <mergeCell ref="A65:C65"/>
    <mergeCell ref="A56:C56"/>
    <mergeCell ref="A50:C50"/>
    <mergeCell ref="A55:C55"/>
    <mergeCell ref="A63:C63"/>
    <mergeCell ref="B38:C38"/>
    <mergeCell ref="A44:C44"/>
    <mergeCell ref="A57:C57"/>
    <mergeCell ref="A62:C62"/>
    <mergeCell ref="B23:C2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VAT_Return</vt:lpstr>
      <vt:lpstr>Sales</vt:lpstr>
      <vt:lpstr>Expenses</vt:lpstr>
      <vt:lpstr>FRS_Calculator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Yatrik Pandya</cp:lastModifiedBy>
  <cp:revision>0</cp:revision>
  <dcterms:created xsi:type="dcterms:W3CDTF">2026-04-25T16:22:07Z</dcterms:created>
  <dcterms:modified xsi:type="dcterms:W3CDTF">2026-04-26T23:24:28Z</dcterms:modified>
  <dc:language>en-US</dc:language>
</cp:coreProperties>
</file>